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TP" sheetId="1" state="visible" r:id="rId1"/>
    <sheet name="Hız Karşılaştırma" sheetId="2" state="visible" r:id="rId2"/>
    <sheet name="EMC Kaynakları" sheetId="3" state="visible" r:id="rId3"/>
    <sheet name="Sinyal Listesi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;-0.0;0.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b val="1"/>
      <i val="1"/>
      <sz val="9"/>
    </font>
    <font>
      <name val="Arial"/>
      <sz val="9"/>
    </font>
    <font>
      <name val="Arial"/>
      <b val="1"/>
      <color rgb="00FF0000"/>
      <sz val="9"/>
    </font>
    <font>
      <name val="Arial"/>
      <sz val="12"/>
    </font>
    <font>
      <name val="Arial"/>
      <i val="1"/>
      <sz val="9"/>
    </font>
    <font>
      <name val="Arial"/>
      <i val="1"/>
      <sz val="8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2" fillId="0" borderId="1" applyAlignment="1" pivotButton="0" quotePrefix="0" xfId="0">
      <alignment vertical="center" wrapText="1"/>
    </xf>
    <xf numFmtId="0" fontId="0" fillId="0" borderId="1" pivotButton="0" quotePrefix="0" xfId="0"/>
    <xf numFmtId="0" fontId="3" fillId="3" borderId="1" applyAlignment="1" pivotButton="0" quotePrefix="0" xfId="0">
      <alignment vertical="center" wrapText="1"/>
    </xf>
    <xf numFmtId="0" fontId="0" fillId="3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 wrapText="1"/>
    </xf>
    <xf numFmtId="0" fontId="8" fillId="0" borderId="0" pivotButton="0" quotePrefix="0" xfId="0"/>
    <xf numFmtId="0" fontId="9" fillId="3" borderId="1" pivotButton="0" quotePrefix="0" xfId="0"/>
    <xf numFmtId="0" fontId="7" fillId="0" borderId="0" pivotButton="0" quotePrefix="0" xfId="0"/>
    <xf numFmtId="9" fontId="9" fillId="3" borderId="1" pivotButton="0" quotePrefix="0" xfId="0"/>
    <xf numFmtId="0" fontId="8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164" fontId="9" fillId="3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vertical="center" wrapText="1"/>
    </xf>
    <xf numFmtId="0" fontId="8" fillId="0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5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20" customWidth="1" min="3" max="3"/>
    <col width="6" customWidth="1" min="4" max="4"/>
    <col width="20" customWidth="1" min="5" max="5"/>
    <col width="6" customWidth="1" min="6" max="6"/>
    <col width="20" customWidth="1" min="7" max="7"/>
    <col width="6" customWidth="1" min="8" max="8"/>
    <col width="20" customWidth="1" min="9" max="9"/>
  </cols>
  <sheetData>
    <row r="1" ht="36" customHeight="1">
      <c r="A1" s="1" t="inlineStr">
        <is>
          <t>KTP – 18m PROTOTİP ARAÇ KITAS SENSÖR – TAKOGRAF KABLOSU HIZ SİNYALİ DOĞRULAMA TESTİ (EMC KAYNAKLARI AÇIK)
CLUSTER – TAKOGRAF (TCO1) – EBS HIZ KARŞILAŞTIRMASI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KTP No / Rev.:</t>
        </is>
      </c>
      <c r="B2" s="4" t="n"/>
      <c r="C2" s="5" t="inlineStr">
        <is>
          <t>KTP-XXXX / Rev.01</t>
        </is>
      </c>
      <c r="D2" s="6" t="n"/>
      <c r="E2" s="6" t="n"/>
      <c r="F2" s="6" t="n"/>
      <c r="G2" s="6" t="n"/>
      <c r="H2" s="6" t="n"/>
      <c r="I2" s="6" t="n"/>
    </row>
    <row r="3">
      <c r="A3" s="3" t="inlineStr">
        <is>
          <t>Araç / Şasi No:</t>
        </is>
      </c>
      <c r="B3" s="4" t="n"/>
      <c r="C3" s="5" t="inlineStr">
        <is>
          <t>18m prototip – ………</t>
        </is>
      </c>
      <c r="D3" s="6" t="n"/>
      <c r="E3" s="6" t="n"/>
      <c r="F3" s="6" t="n"/>
      <c r="G3" s="6" t="n"/>
      <c r="H3" s="6" t="n"/>
      <c r="I3" s="6" t="n"/>
    </row>
    <row r="4">
      <c r="A4" s="3" t="inlineStr">
        <is>
          <t>Test Tarihi / Yeri:</t>
        </is>
      </c>
      <c r="B4" s="4" t="n"/>
      <c r="C4" s="5" t="inlineStr">
        <is>
          <t>…… / ……</t>
        </is>
      </c>
      <c r="D4" s="6" t="n"/>
      <c r="E4" s="6" t="n"/>
      <c r="F4" s="6" t="n"/>
      <c r="G4" s="6" t="n"/>
      <c r="H4" s="6" t="n"/>
      <c r="I4" s="6" t="n"/>
    </row>
    <row r="5">
      <c r="A5" s="3" t="inlineStr">
        <is>
          <t>Testi Yapan / Onaylayan:</t>
        </is>
      </c>
      <c r="B5" s="4" t="n"/>
      <c r="C5" s="5" t="inlineStr">
        <is>
          <t>…… / ……</t>
        </is>
      </c>
      <c r="D5" s="6" t="n"/>
      <c r="E5" s="6" t="n"/>
      <c r="F5" s="6" t="n"/>
      <c r="G5" s="6" t="n"/>
      <c r="H5" s="6" t="n"/>
      <c r="I5" s="6" t="n"/>
    </row>
    <row r="6">
      <c r="A6" s="3" t="inlineStr">
        <is>
          <t>Test Edilen Komponentler:</t>
        </is>
      </c>
      <c r="B6" s="4" t="n"/>
      <c r="C6" s="7" t="inlineStr">
        <is>
          <t>☐ KITAS Sensör + Kablo</t>
        </is>
      </c>
      <c r="D6" s="4" t="n"/>
      <c r="E6" s="7" t="inlineStr">
        <is>
          <t>☐ Takograf</t>
        </is>
      </c>
      <c r="F6" s="4" t="n"/>
      <c r="G6" s="7" t="inlineStr">
        <is>
          <t>☐ Cluster</t>
        </is>
      </c>
      <c r="H6" s="4" t="n"/>
      <c r="I6" s="7" t="inlineStr">
        <is>
          <t>☐ EBS (Referans)</t>
        </is>
      </c>
    </row>
    <row r="7">
      <c r="A7" s="3" t="inlineStr">
        <is>
          <t>Yazılım Versiyonları:</t>
        </is>
      </c>
      <c r="B7" s="4" t="n"/>
      <c r="C7" s="7" t="inlineStr">
        <is>
          <t>TAKOGRAF</t>
        </is>
      </c>
      <c r="D7" s="4" t="n"/>
      <c r="E7" s="7" t="inlineStr">
        <is>
          <t>CLUSTER</t>
        </is>
      </c>
      <c r="F7" s="4" t="n"/>
      <c r="G7" s="7" t="inlineStr">
        <is>
          <t>EBS</t>
        </is>
      </c>
      <c r="H7" s="4" t="n"/>
      <c r="I7" s="7" t="inlineStr">
        <is>
          <t>DİĞER</t>
        </is>
      </c>
    </row>
    <row r="8">
      <c r="A8" s="4" t="n"/>
      <c r="B8" s="4" t="n"/>
      <c r="C8" s="8" t="inlineStr">
        <is>
          <t>x.x.x.x</t>
        </is>
      </c>
      <c r="D8" s="6" t="n"/>
      <c r="E8" s="8" t="inlineStr">
        <is>
          <t>x.x.x.x</t>
        </is>
      </c>
      <c r="F8" s="6" t="n"/>
      <c r="G8" s="8" t="inlineStr">
        <is>
          <t>x.x.x.x</t>
        </is>
      </c>
      <c r="H8" s="6" t="n"/>
      <c r="I8" s="8" t="inlineStr">
        <is>
          <t>Belirtiniz</t>
        </is>
      </c>
    </row>
    <row r="9">
      <c r="A9" s="3" t="inlineStr">
        <is>
          <t>BUSLOAD:</t>
        </is>
      </c>
      <c r="B9" s="4" t="n"/>
      <c r="C9" s="7" t="inlineStr">
        <is>
          <t>KANAL 1 – Takograf CAN</t>
        </is>
      </c>
      <c r="D9" s="8" t="inlineStr">
        <is>
          <t>%</t>
        </is>
      </c>
      <c r="E9" s="7" t="inlineStr">
        <is>
          <t>KANAL 2 – EBS/Fren CAN</t>
        </is>
      </c>
      <c r="F9" s="8" t="inlineStr">
        <is>
          <t>%</t>
        </is>
      </c>
      <c r="G9" s="7" t="inlineStr">
        <is>
          <t>KANAL 3 – Cluster CAN</t>
        </is>
      </c>
      <c r="H9" s="8" t="inlineStr">
        <is>
          <t>%</t>
        </is>
      </c>
      <c r="I9" s="7" t="inlineStr">
        <is>
          <t>KANAL 4 – ……  %</t>
        </is>
      </c>
    </row>
    <row r="10">
      <c r="A10" s="3" t="inlineStr">
        <is>
          <t>Efor, Harcanan Saat:</t>
        </is>
      </c>
      <c r="B10" s="4" t="n"/>
      <c r="C10" s="5" t="inlineStr"/>
      <c r="D10" s="6" t="n"/>
      <c r="E10" s="6" t="n"/>
      <c r="F10" s="6" t="n"/>
      <c r="G10" s="6" t="n"/>
      <c r="H10" s="6" t="n"/>
      <c r="I10" s="6" t="n"/>
    </row>
    <row r="11" ht="30" customHeight="1">
      <c r="A11" s="3" t="inlineStr">
        <is>
          <t>Hazırlık ve Ön Koşullar:</t>
        </is>
      </c>
      <c r="B11" s="4" t="n"/>
      <c r="C11" s="9" t="inlineStr">
        <is>
          <t>Araç LV (24V) sistemi sağlıklı, akü gerilimi ≥ 24,5 V olmalıdır. Araç yol testine uygun (fren, direksiyon, lastik basınçları) durumda olmalıdır.</t>
        </is>
      </c>
      <c r="D11" s="4" t="n"/>
      <c r="E11" s="4" t="n"/>
      <c r="F11" s="4" t="n"/>
      <c r="G11" s="4" t="n"/>
      <c r="H11" s="4" t="n"/>
      <c r="I11" s="4" t="n"/>
    </row>
    <row r="12" ht="44" customHeight="1">
      <c r="A12" s="4" t="n"/>
      <c r="B12" s="4" t="n"/>
      <c r="C12" s="9" t="inlineStr">
        <is>
          <t>KITAS sensör – takograf kablosu araca nihai güzergâhında monte edilmiş olmalı; konnektör kilitleri, ekranlama (shield) topraklaması ve kablo bağları (körük/mafsal geçişi dâhil) görsel olarak kontrol edilmelidir.</t>
        </is>
      </c>
      <c r="D12" s="4" t="n"/>
      <c r="E12" s="4" t="n"/>
      <c r="F12" s="4" t="n"/>
      <c r="G12" s="4" t="n"/>
      <c r="H12" s="4" t="n"/>
      <c r="I12" s="4" t="n"/>
    </row>
    <row r="13" ht="30" customHeight="1">
      <c r="A13" s="4" t="n"/>
      <c r="B13" s="4" t="n"/>
      <c r="C13" s="9" t="inlineStr">
        <is>
          <t>Takograf aktive ve kalibre edilmiş, KITAS sensör takografa eşleştirilmiş olmalıdır. Takograf W/K/L parametreleri ve lastik ölçüsü kayıt altına alınmalıdır.</t>
        </is>
      </c>
      <c r="D13" s="4" t="n"/>
      <c r="E13" s="4" t="n"/>
      <c r="F13" s="4" t="n"/>
      <c r="G13" s="4" t="n"/>
      <c r="H13" s="4" t="n"/>
      <c r="I13" s="4" t="n"/>
    </row>
    <row r="14" ht="30" customHeight="1">
      <c r="A14" s="4" t="n"/>
      <c r="B14" s="4" t="n"/>
      <c r="C14" s="9" t="inlineStr">
        <is>
          <t>Test öncesi Takograf, Cluster ve EBS DTC'leri ile takograf olay/arıza kayıtları okunup kaydedilmeli; aktif hata olmamalıdır.</t>
        </is>
      </c>
      <c r="D14" s="4" t="n"/>
      <c r="E14" s="4" t="n"/>
      <c r="F14" s="4" t="n"/>
      <c r="G14" s="4" t="n"/>
      <c r="H14" s="4" t="n"/>
      <c r="I14" s="4" t="n"/>
    </row>
    <row r="15" ht="44" customHeight="1">
      <c r="A15" s="4" t="n"/>
      <c r="B15" s="4" t="n"/>
      <c r="C15" s="9" t="inlineStr">
        <is>
          <t>Takograf, EBS ve Cluster hatlarından eş zamanlı CAN kaydı alınmalıdır (BLF/ASC, tek zaman tabanı). İzlenecek mesajlar: TCO1 0x0CFE6CEE – TachographVehicleSpeed (Byte 7-8, 1/256 km/h); EBS: EBC2 0x18FEBF0B – FrontAxleSpeed ve CCVS1 0x18FEF1xx – WheelBasedVehicleSpeed (EBS ID'leri EBS DBC ile teyit edilecek). DBC dosyaları kayda eklenmelidir.</t>
        </is>
      </c>
      <c r="D15" s="4" t="n"/>
      <c r="E15" s="4" t="n"/>
      <c r="F15" s="4" t="n"/>
      <c r="G15" s="4" t="n"/>
      <c r="H15" s="4" t="n"/>
      <c r="I15" s="4" t="n"/>
    </row>
    <row r="16" ht="30" customHeight="1">
      <c r="A16" s="4" t="n"/>
      <c r="B16" s="4" t="n"/>
      <c r="C16" s="9" t="inlineStr">
        <is>
          <t>Cluster hız göstergesi, CAN kaydı ile zaman senkronlu olarak kamera ile kaydedilmelidir (kamera kaydı başında CAN kaydına marker atılır / ekranda saat görünür).</t>
        </is>
      </c>
      <c r="D16" s="4" t="n"/>
      <c r="E16" s="4" t="n"/>
      <c r="F16" s="4" t="n"/>
      <c r="G16" s="4" t="n"/>
      <c r="H16" s="4" t="n"/>
      <c r="I16" s="4" t="n"/>
    </row>
    <row r="17" ht="30" customHeight="1">
      <c r="A17" s="4" t="n"/>
      <c r="B17" s="4" t="n"/>
      <c r="C17" s="10" t="inlineStr">
        <is>
          <t>TÜM TEST MADDELERİ, 'EMC Kaynakları' sayfasındaki tüm EMC kaynakları AÇIK durumdayken yapılacaktır. Açılan kaynaklar ilgili sayfada işaretlenmelidir.</t>
        </is>
      </c>
      <c r="D17" s="4" t="n"/>
      <c r="E17" s="4" t="n"/>
      <c r="F17" s="4" t="n"/>
      <c r="G17" s="4" t="n"/>
      <c r="H17" s="4" t="n"/>
      <c r="I17" s="4" t="n"/>
    </row>
    <row r="18" ht="30" customHeight="1">
      <c r="A18" s="4" t="n"/>
      <c r="B18" s="4" t="n"/>
      <c r="C18" s="9" t="inlineStr">
        <is>
          <t>Test, trafiğe kapalı test pistinde / uygun güzergâhta yapılmalı; varsa GPS referansı (ör. VBOX) kayda eklenmelidir. Araç yükleme durumu (boş/yüklü) not edilmelidir.</t>
        </is>
      </c>
      <c r="D18" s="4" t="n"/>
      <c r="E18" s="4" t="n"/>
      <c r="F18" s="4" t="n"/>
      <c r="G18" s="4" t="n"/>
      <c r="H18" s="4" t="n"/>
      <c r="I18" s="4" t="n"/>
    </row>
    <row r="19" ht="24" customHeight="1">
      <c r="A19" s="11" t="inlineStr">
        <is>
          <t>PROSEDÜR ve KABUL KRİTERLERİ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</row>
    <row r="20" ht="44" customHeight="1">
      <c r="A20" s="12" t="inlineStr">
        <is>
          <t>MADDE 1 :</t>
        </is>
      </c>
      <c r="B20" s="9" t="inlineStr">
        <is>
          <t>PROSEDÜR</t>
        </is>
      </c>
      <c r="C20" s="9" t="inlineStr">
        <is>
          <t>[TEST ÖNCESİ KONTROL, EMC KAYNAKLARININ DEVREYE ALINMASI, CAN KAYDI]  CAN kaydı ve cluster kamera kaydı başlatılır. Kontak açılır, motor/sistem çalıştırılır ve 'EMC Kaynakları' listesindeki tüm tüketiciler devreye alınır. Araç duruyorken TCO1 (0x0CFE6CEE), EBC2 ve CCVS1 mesajları izlenir.</t>
        </is>
      </c>
      <c r="D20" s="4" t="n"/>
      <c r="E20" s="4" t="n"/>
      <c r="F20" s="4" t="n"/>
      <c r="G20" s="4" t="n"/>
      <c r="H20" s="4" t="n"/>
      <c r="I20" s="4" t="n"/>
    </row>
    <row r="21" ht="48" customHeight="1">
      <c r="A21" s="4" t="n"/>
      <c r="B21" s="9" t="inlineStr">
        <is>
          <t>KABUL KRİTERİ</t>
        </is>
      </c>
      <c r="C21" s="9" t="inlineStr">
        <is>
          <t>TCO1 periyodik (nominal 50 ms) ve kesintisiz gelmeli; TachographVehicleSpeed = 0 km/h, VehicleMotion = 00 (hareket yok) olmalı. EBS hız sinyalleri 0 km/h, cluster hız göstergesi 0 km/h olmalıdır. Takograf/cluster'da sensör hatası uyarısı olmamalıdır.</t>
        </is>
      </c>
      <c r="D21" s="4" t="n"/>
      <c r="E21" s="4" t="n"/>
      <c r="F21" s="4" t="n"/>
      <c r="G21" s="4" t="n"/>
      <c r="H21" s="4" t="n"/>
      <c r="I21" s="4" t="n"/>
    </row>
    <row r="22" ht="36" customHeight="1">
      <c r="A22" s="4" t="n"/>
      <c r="B22" s="9" t="inlineStr">
        <is>
          <t>SONUÇ</t>
        </is>
      </c>
      <c r="C22" s="9" t="inlineStr">
        <is>
          <t>TCO1 / EBC2 / CCVS1 periyot değerleri, statik hız değerleri, cluster görüntüsü ve açılan EMC kaynakları kaydedilir.</t>
        </is>
      </c>
      <c r="D22" s="4" t="n"/>
      <c r="E22" s="4" t="n"/>
      <c r="F22" s="4" t="n"/>
      <c r="G22" s="4" t="n"/>
      <c r="H22" s="4" t="n"/>
      <c r="I22" s="4" t="n"/>
    </row>
    <row r="23" ht="18" customHeight="1">
      <c r="A23" s="4" t="n"/>
      <c r="B23" s="9" t="inlineStr">
        <is>
          <t>OK / NOK</t>
        </is>
      </c>
      <c r="C23" s="5" t="inlineStr"/>
      <c r="D23" s="6" t="n"/>
      <c r="E23" s="6" t="n"/>
      <c r="F23" s="6" t="n"/>
      <c r="G23" s="6" t="n"/>
      <c r="H23" s="6" t="n"/>
      <c r="I23" s="6" t="n"/>
    </row>
    <row r="24" ht="44" customHeight="1">
      <c r="A24" s="12" t="inlineStr">
        <is>
          <t>MADDE 2 :</t>
        </is>
      </c>
      <c r="B24" s="9" t="inlineStr">
        <is>
          <t>PROSEDÜR</t>
        </is>
      </c>
      <c r="C24" s="9" t="inlineStr">
        <is>
          <t>[SABİT HIZ TESTİ – CLUSTER / TAKOGRAF / EBS HIZ KARŞILAŞTIRMASI (EMC AÇIK)]  Tüm EMC kaynakları açıkken araç 10 – 20 – 30 – 40 – 50 – 60 – 70 – 80 km/h (hız sınırlayıcı değerine kadar) kademelerinde, her kademede en az 60 sn sabit sürülür. Her kademede cluster hız göstergesi okunur/kamera ile kaydedilir, CAN kaydına marker atılır.</t>
        </is>
      </c>
      <c r="D24" s="4" t="n"/>
      <c r="E24" s="4" t="n"/>
      <c r="F24" s="4" t="n"/>
      <c r="G24" s="4" t="n"/>
      <c r="H24" s="4" t="n"/>
      <c r="I24" s="4" t="n"/>
    </row>
    <row r="25" ht="62" customHeight="1">
      <c r="A25" s="4" t="n"/>
      <c r="B25" s="9" t="inlineStr">
        <is>
          <t>KABUL KRİTERİ</t>
        </is>
      </c>
      <c r="C25" s="9" t="inlineStr">
        <is>
          <t>1) TCO1 TachographVehicleSpeed ile EBS hızı (EBC2 FrontAxleSpeed / CCVS1 WheelBasedVehicleSpeed) farkı ≤ ±2 km/h olmalıdır.
2) Cluster hızı ≥ TCO1 hızı (–1 km/h okuma toleransı) ve Cluster – TCO1 ≤ %10 × TCO1 + 4 km/h olmalıdır (ECE R39 mantığı).
3) Hız sinyalinde ani 0'a düşme, sıçrama, donma veya 0xFExx/0xFFxx (hata/mevcut değil) değeri olmamalıdır.</t>
        </is>
      </c>
      <c r="D25" s="4" t="n"/>
      <c r="E25" s="4" t="n"/>
      <c r="F25" s="4" t="n"/>
      <c r="G25" s="4" t="n"/>
      <c r="H25" s="4" t="n"/>
      <c r="I25" s="4" t="n"/>
    </row>
    <row r="26" ht="36" customHeight="1">
      <c r="A26" s="4" t="n"/>
      <c r="B26" s="9" t="inlineStr">
        <is>
          <t>SONUÇ</t>
        </is>
      </c>
      <c r="C26" s="9" t="inlineStr">
        <is>
          <t>Kademe bazında TCO1 / EBS ortalama değerleri ve cluster okuması 'Hız Karşılaştırma' sayfasına girilir; farklar ve OK/NOK otomatik hesaplanır. Hız–zaman grafiği (TCO1 vs EBS) rapora eklenir.</t>
        </is>
      </c>
      <c r="D26" s="4" t="n"/>
      <c r="E26" s="4" t="n"/>
      <c r="F26" s="4" t="n"/>
      <c r="G26" s="4" t="n"/>
      <c r="H26" s="4" t="n"/>
      <c r="I26" s="4" t="n"/>
    </row>
    <row r="27" ht="18" customHeight="1">
      <c r="A27" s="4" t="n"/>
      <c r="B27" s="9" t="inlineStr">
        <is>
          <t>OK / NOK</t>
        </is>
      </c>
      <c r="C27" s="5" t="inlineStr"/>
      <c r="D27" s="6" t="n"/>
      <c r="E27" s="6" t="n"/>
      <c r="F27" s="6" t="n"/>
      <c r="G27" s="6" t="n"/>
      <c r="H27" s="6" t="n"/>
      <c r="I27" s="6" t="n"/>
    </row>
    <row r="28" ht="44" customHeight="1">
      <c r="A28" s="12" t="inlineStr">
        <is>
          <t>MADDE 3 :</t>
        </is>
      </c>
      <c r="B28" s="9" t="inlineStr">
        <is>
          <t>PROSEDÜR</t>
        </is>
      </c>
      <c r="C28" s="9" t="inlineStr">
        <is>
          <t>[DİNAMİK TEST – HIZLANMA / YAVAŞLAMA (EMC AÇIK)]  Tüm EMC kaynakları açıkken araç 0 km/h'den tam gazla maksimum hıza hızlandırılır, ardından servis freni ile 0 km/h'ye yavaşlatılır. İşlem en az 3 kez tekrarlanır; 1 kez de retarder/motor freni ile yavaşlama yapılır.</t>
        </is>
      </c>
      <c r="D28" s="4" t="n"/>
      <c r="E28" s="4" t="n"/>
      <c r="F28" s="4" t="n"/>
      <c r="G28" s="4" t="n"/>
      <c r="H28" s="4" t="n"/>
      <c r="I28" s="4" t="n"/>
    </row>
    <row r="29" ht="48" customHeight="1">
      <c r="A29" s="4" t="n"/>
      <c r="B29" s="9" t="inlineStr">
        <is>
          <t>KABUL KRİTERİ</t>
        </is>
      </c>
      <c r="C29" s="9" t="inlineStr">
        <is>
          <t>TCO1 hızı EBS hızını gecikmesiz ve sürekli takip etmeli; geçişlerde fark ≤ ±3 km/h olmalı. TCO1 mesajında &gt; 150 ms (3 periyot) boşluk, hızın anlık 0'a düşmesi veya VehicleMotion'ın hareket sırasında 00'a düşmesi görülmemelidir. Cluster göstergesi takılmadan/sıçramadan hızı takip etmelidir.</t>
        </is>
      </c>
      <c r="D29" s="4" t="n"/>
      <c r="E29" s="4" t="n"/>
      <c r="F29" s="4" t="n"/>
      <c r="G29" s="4" t="n"/>
      <c r="H29" s="4" t="n"/>
      <c r="I29" s="4" t="n"/>
    </row>
    <row r="30" ht="36" customHeight="1">
      <c r="A30" s="4" t="n"/>
      <c r="B30" s="9" t="inlineStr">
        <is>
          <t>SONUÇ</t>
        </is>
      </c>
      <c r="C30" s="9" t="inlineStr">
        <is>
          <t>Hızlanma/yavaşlama eğrileri (TCO1 vs EBS) üst üste çizdirilir; maksimum sapma ve kesinti sayısı rapora yazılır.</t>
        </is>
      </c>
      <c r="D30" s="4" t="n"/>
      <c r="E30" s="4" t="n"/>
      <c r="F30" s="4" t="n"/>
      <c r="G30" s="4" t="n"/>
      <c r="H30" s="4" t="n"/>
      <c r="I30" s="4" t="n"/>
    </row>
    <row r="31" ht="18" customHeight="1">
      <c r="A31" s="4" t="n"/>
      <c r="B31" s="9" t="inlineStr">
        <is>
          <t>OK / NOK</t>
        </is>
      </c>
      <c r="C31" s="5" t="inlineStr"/>
      <c r="D31" s="6" t="n"/>
      <c r="E31" s="6" t="n"/>
      <c r="F31" s="6" t="n"/>
      <c r="G31" s="6" t="n"/>
      <c r="H31" s="6" t="n"/>
      <c r="I31" s="6" t="n"/>
    </row>
    <row r="32" ht="44" customHeight="1">
      <c r="A32" s="12" t="inlineStr">
        <is>
          <t>MADDE 4 :</t>
        </is>
      </c>
      <c r="B32" s="9" t="inlineStr">
        <is>
          <t>PROSEDÜR</t>
        </is>
      </c>
      <c r="C32" s="9" t="inlineStr">
        <is>
          <t>[KABLO GÜZERGÂHI ZORLAMA – MAFSAL / VİRAJ / BOZUK YOL (EMC AÇIK)]  Tüm EMC kaynakları açıkken araç düşük hızda (10–20 km/h) sağa ve sola maksimum direksiyon açısıyla dönüşler yapar (mafsal/körük tam açı). Ardından bozuk yol / Belçika taşı / kasis parkurunda 20–40 km/h hızla en az 5 dk sürülür.</t>
        </is>
      </c>
      <c r="D32" s="4" t="n"/>
      <c r="E32" s="4" t="n"/>
      <c r="F32" s="4" t="n"/>
      <c r="G32" s="4" t="n"/>
      <c r="H32" s="4" t="n"/>
      <c r="I32" s="4" t="n"/>
    </row>
    <row r="33" ht="48" customHeight="1">
      <c r="A33" s="4" t="n"/>
      <c r="B33" s="9" t="inlineStr">
        <is>
          <t>KABUL KRİTERİ</t>
        </is>
      </c>
      <c r="C33" s="9" t="inlineStr">
        <is>
          <t>Titreşim ve mafsal hareketi sırasında KITAS hız sinyalinde kesinti olmamalı; TCO1 hızı EBS hızından ≤ ±2 km/h sapmalı, cluster göstergesi kararlı olmalıdır. Takografta 'Sensör hatası' / 'Hareket verisi hatası' olayı oluşmamalıdır.</t>
        </is>
      </c>
      <c r="D33" s="4" t="n"/>
      <c r="E33" s="4" t="n"/>
      <c r="F33" s="4" t="n"/>
      <c r="G33" s="4" t="n"/>
      <c r="H33" s="4" t="n"/>
      <c r="I33" s="4" t="n"/>
    </row>
    <row r="34" ht="36" customHeight="1">
      <c r="A34" s="4" t="n"/>
      <c r="B34" s="9" t="inlineStr">
        <is>
          <t>SONUÇ</t>
        </is>
      </c>
      <c r="C34" s="9" t="inlineStr">
        <is>
          <t>Dönüş ve bozuk yol bölümleri kayıtta marker ile işaretlenir; kesinti varsa zaman damgası ve araç konumu (mafsal açısı, yol tipi) not edilir.</t>
        </is>
      </c>
      <c r="D34" s="4" t="n"/>
      <c r="E34" s="4" t="n"/>
      <c r="F34" s="4" t="n"/>
      <c r="G34" s="4" t="n"/>
      <c r="H34" s="4" t="n"/>
      <c r="I34" s="4" t="n"/>
    </row>
    <row r="35" ht="18" customHeight="1">
      <c r="A35" s="4" t="n"/>
      <c r="B35" s="9" t="inlineStr">
        <is>
          <t>OK / NOK</t>
        </is>
      </c>
      <c r="C35" s="5" t="inlineStr"/>
      <c r="D35" s="6" t="n"/>
      <c r="E35" s="6" t="n"/>
      <c r="F35" s="6" t="n"/>
      <c r="G35" s="6" t="n"/>
      <c r="H35" s="6" t="n"/>
      <c r="I35" s="6" t="n"/>
    </row>
    <row r="36" ht="44" customHeight="1">
      <c r="A36" s="12" t="inlineStr">
        <is>
          <t>MADDE 5 :</t>
        </is>
      </c>
      <c r="B36" s="9" t="inlineStr">
        <is>
          <t>PROSEDÜR</t>
        </is>
      </c>
      <c r="C36" s="9" t="inlineStr">
        <is>
          <t>[EMC KAYNAKLARI AÇMA-KAPAMA GEÇİŞLERİ (TRANSIENT)]  Araç 50 km/h sabit hızda iken 'EMC Kaynakları' listesindeki tüketiciler tek tek kapatılıp tekrar açılır (kapı, retarder, kneeling gibi hareket halinde uygulanamayanlar durakta / düşük hızda). Her geçiş CAN kaydına marker ile işlenir.</t>
        </is>
      </c>
      <c r="D36" s="4" t="n"/>
      <c r="E36" s="4" t="n"/>
      <c r="F36" s="4" t="n"/>
      <c r="G36" s="4" t="n"/>
      <c r="H36" s="4" t="n"/>
      <c r="I36" s="4" t="n"/>
    </row>
    <row r="37" ht="48" customHeight="1">
      <c r="A37" s="4" t="n"/>
      <c r="B37" s="9" t="inlineStr">
        <is>
          <t>KABUL KRİTERİ</t>
        </is>
      </c>
      <c r="C37" s="9" t="inlineStr">
        <is>
          <t>Açma-kapama geçişlerinde TCO1 hız sinyalinde gürültü kaynaklı sıçrama, kesinti veya mesaj kaybı olmamalı; TCO1 – EBS farkı ≤ ±2 km/h kalmalı, cluster göstergesi etkilenmemelidir.</t>
        </is>
      </c>
      <c r="D37" s="4" t="n"/>
      <c r="E37" s="4" t="n"/>
      <c r="F37" s="4" t="n"/>
      <c r="G37" s="4" t="n"/>
      <c r="H37" s="4" t="n"/>
      <c r="I37" s="4" t="n"/>
    </row>
    <row r="38" ht="36" customHeight="1">
      <c r="A38" s="4" t="n"/>
      <c r="B38" s="9" t="inlineStr">
        <is>
          <t>SONUÇ</t>
        </is>
      </c>
      <c r="C38" s="9" t="inlineStr">
        <is>
          <t>Her geçiş için sapma/kesinti varsa ilgili EMC kaynağı ile ilişkilendirilerek 'EMC Kaynakları' sayfasına not edilir.</t>
        </is>
      </c>
      <c r="D38" s="4" t="n"/>
      <c r="E38" s="4" t="n"/>
      <c r="F38" s="4" t="n"/>
      <c r="G38" s="4" t="n"/>
      <c r="H38" s="4" t="n"/>
      <c r="I38" s="4" t="n"/>
    </row>
    <row r="39" ht="18" customHeight="1">
      <c r="A39" s="4" t="n"/>
      <c r="B39" s="9" t="inlineStr">
        <is>
          <t>OK / NOK</t>
        </is>
      </c>
      <c r="C39" s="5" t="inlineStr"/>
      <c r="D39" s="6" t="n"/>
      <c r="E39" s="6" t="n"/>
      <c r="F39" s="6" t="n"/>
      <c r="G39" s="6" t="n"/>
      <c r="H39" s="6" t="n"/>
      <c r="I39" s="6" t="n"/>
    </row>
    <row r="40" ht="44" customHeight="1">
      <c r="A40" s="12" t="inlineStr">
        <is>
          <t>MADDE 6 :</t>
        </is>
      </c>
      <c r="B40" s="9" t="inlineStr">
        <is>
          <t>PROSEDÜR</t>
        </is>
      </c>
      <c r="C40" s="9" t="inlineStr">
        <is>
          <t>[KONTAK ÇEVRİMİ VE YENİDEN BAŞLATMA]  Kontak kapatılır, takograf uyku moduna geçmesi beklenir (≥ 1 dk). Kontak tekrar açılır, EMC kaynakları devreye alınır, araç 30 km/h'ye çıkılır. İşlem 5 kez tekrarlanır.</t>
        </is>
      </c>
      <c r="D40" s="4" t="n"/>
      <c r="E40" s="4" t="n"/>
      <c r="F40" s="4" t="n"/>
      <c r="G40" s="4" t="n"/>
      <c r="H40" s="4" t="n"/>
      <c r="I40" s="4" t="n"/>
    </row>
    <row r="41" ht="48" customHeight="1">
      <c r="A41" s="4" t="n"/>
      <c r="B41" s="9" t="inlineStr">
        <is>
          <t>KABUL KRİTERİ</t>
        </is>
      </c>
      <c r="C41" s="9" t="inlineStr">
        <is>
          <t>Her açılışta KITAS – takograf eşleşmesi hatasız sağlanmalı, TCO1 (0x0CFE6CEE) ≤ 2 sn içinde gelmeli; hız bilgisi EBS ve cluster ile uyumlu olmalıdır.</t>
        </is>
      </c>
      <c r="D41" s="4" t="n"/>
      <c r="E41" s="4" t="n"/>
      <c r="F41" s="4" t="n"/>
      <c r="G41" s="4" t="n"/>
      <c r="H41" s="4" t="n"/>
      <c r="I41" s="4" t="n"/>
    </row>
    <row r="42" ht="36" customHeight="1">
      <c r="A42" s="4" t="n"/>
      <c r="B42" s="9" t="inlineStr">
        <is>
          <t>SONUÇ</t>
        </is>
      </c>
      <c r="C42" s="9" t="inlineStr">
        <is>
          <t>Çevrim sayısı, TCO1 ilk mesaj süresi ve varsa hata mesajları kaydedilir.</t>
        </is>
      </c>
      <c r="D42" s="4" t="n"/>
      <c r="E42" s="4" t="n"/>
      <c r="F42" s="4" t="n"/>
      <c r="G42" s="4" t="n"/>
      <c r="H42" s="4" t="n"/>
      <c r="I42" s="4" t="n"/>
    </row>
    <row r="43" ht="18" customHeight="1">
      <c r="A43" s="4" t="n"/>
      <c r="B43" s="9" t="inlineStr">
        <is>
          <t>OK / NOK</t>
        </is>
      </c>
      <c r="C43" s="5" t="inlineStr"/>
      <c r="D43" s="6" t="n"/>
      <c r="E43" s="6" t="n"/>
      <c r="F43" s="6" t="n"/>
      <c r="G43" s="6" t="n"/>
      <c r="H43" s="6" t="n"/>
      <c r="I43" s="6" t="n"/>
    </row>
    <row r="44" ht="44" customHeight="1">
      <c r="A44" s="12" t="inlineStr">
        <is>
          <t>MADDE 7 :</t>
        </is>
      </c>
      <c r="B44" s="9" t="inlineStr">
        <is>
          <t>PROSEDÜR</t>
        </is>
      </c>
      <c r="C44" s="9" t="inlineStr">
        <is>
          <t>[TEST SONRASI ARIZA / OLAY KAYITLARININ KONTROLÜ]  Test bitiminde CAN ve kamera kayıtları durdurulur. Takograf olay/arıza kayıtları (servis kartı / indirme cihazı ile) ile Takograf, Cluster ve EBS DTC'leri okunur.</t>
        </is>
      </c>
      <c r="D44" s="4" t="n"/>
      <c r="E44" s="4" t="n"/>
      <c r="F44" s="4" t="n"/>
      <c r="G44" s="4" t="n"/>
      <c r="H44" s="4" t="n"/>
      <c r="I44" s="4" t="n"/>
    </row>
    <row r="45" ht="48" customHeight="1">
      <c r="A45" s="4" t="n"/>
      <c r="B45" s="9" t="inlineStr">
        <is>
          <t>KABUL KRİTERİ</t>
        </is>
      </c>
      <c r="C45" s="9" t="inlineStr">
        <is>
          <t>Test süresince yeni 'Sensör hatası', 'Güç kesintisi', 'Hareket çelişkisi (Motion conflict)', 'Hız sinyali hatası' vb. olay/arıza kaydı oluşmamalı; Takograf, Cluster ve EBS'de yeni DTC olmamalıdır.</t>
        </is>
      </c>
      <c r="D45" s="4" t="n"/>
      <c r="E45" s="4" t="n"/>
      <c r="F45" s="4" t="n"/>
      <c r="G45" s="4" t="n"/>
      <c r="H45" s="4" t="n"/>
      <c r="I45" s="4" t="n"/>
    </row>
    <row r="46" ht="36" customHeight="1">
      <c r="A46" s="4" t="n"/>
      <c r="B46" s="9" t="inlineStr">
        <is>
          <t>SONUÇ</t>
        </is>
      </c>
      <c r="C46" s="9" t="inlineStr">
        <is>
          <t>Okunan olay/DTC listesi, CAN kayıt ve kamera dosya adları rapora eklenir.</t>
        </is>
      </c>
      <c r="D46" s="4" t="n"/>
      <c r="E46" s="4" t="n"/>
      <c r="F46" s="4" t="n"/>
      <c r="G46" s="4" t="n"/>
      <c r="H46" s="4" t="n"/>
      <c r="I46" s="4" t="n"/>
    </row>
    <row r="47" ht="18" customHeight="1">
      <c r="A47" s="4" t="n"/>
      <c r="B47" s="9" t="inlineStr">
        <is>
          <t>OK / NOK</t>
        </is>
      </c>
      <c r="C47" s="5" t="inlineStr"/>
      <c r="D47" s="6" t="n"/>
      <c r="E47" s="6" t="n"/>
      <c r="F47" s="6" t="n"/>
      <c r="G47" s="6" t="n"/>
      <c r="H47" s="6" t="n"/>
      <c r="I47" s="6" t="n"/>
    </row>
    <row r="48" ht="40" customHeight="1">
      <c r="A48" s="3" t="inlineStr">
        <is>
          <t>GENEL SONUÇ / NOTLAR:</t>
        </is>
      </c>
      <c r="B48" s="4" t="n"/>
      <c r="C48" s="5" t="inlineStr"/>
      <c r="D48" s="6" t="n"/>
      <c r="E48" s="6" t="n"/>
      <c r="F48" s="6" t="n"/>
      <c r="G48" s="6" t="n"/>
      <c r="H48" s="6" t="n"/>
      <c r="I48" s="6" t="n"/>
    </row>
    <row r="50" ht="30" customHeight="1">
      <c r="A50" s="13" t="inlineStr">
        <is>
          <t>Açıklama: Sarı hücreler test ekibi tarafından doldurulacaktır. Tolerans değerleri (±2 / ±3 km/h, cluster %10 + 4 km/h) öneridir; proje/regülasyon gereksinimleri ile teyit edilmelidir. TCO1 ID'si takograf DBC'sinden alınmıştır; EBS mesaj ID'leri J1939 standart değerleridir ve EBS DBC'si ile teyit edilmelidir.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</row>
  </sheetData>
  <mergeCells count="71">
    <mergeCell ref="C36:I36"/>
    <mergeCell ref="A36:A39"/>
    <mergeCell ref="A11:B18"/>
    <mergeCell ref="C23:I23"/>
    <mergeCell ref="A48:B48"/>
    <mergeCell ref="C6:D6"/>
    <mergeCell ref="C48:I48"/>
    <mergeCell ref="C17:I17"/>
    <mergeCell ref="C39:I39"/>
    <mergeCell ref="C32:I32"/>
    <mergeCell ref="C38:I38"/>
    <mergeCell ref="G8:H8"/>
    <mergeCell ref="A50:I50"/>
    <mergeCell ref="E8:F8"/>
    <mergeCell ref="A6:B6"/>
    <mergeCell ref="C37:I37"/>
    <mergeCell ref="C28:I28"/>
    <mergeCell ref="C13:I13"/>
    <mergeCell ref="C18:I18"/>
    <mergeCell ref="G7:H7"/>
    <mergeCell ref="C3:I3"/>
    <mergeCell ref="C34:I34"/>
    <mergeCell ref="C24:I24"/>
    <mergeCell ref="G6:H6"/>
    <mergeCell ref="C30:I30"/>
    <mergeCell ref="C15:I15"/>
    <mergeCell ref="C33:I33"/>
    <mergeCell ref="C42:I42"/>
    <mergeCell ref="A3:B3"/>
    <mergeCell ref="C5:I5"/>
    <mergeCell ref="A32:A35"/>
    <mergeCell ref="C14:I14"/>
    <mergeCell ref="C45:I45"/>
    <mergeCell ref="A2:B2"/>
    <mergeCell ref="E6:F6"/>
    <mergeCell ref="A19:I19"/>
    <mergeCell ref="C26:I26"/>
    <mergeCell ref="C35:I35"/>
    <mergeCell ref="C4:I4"/>
    <mergeCell ref="A5:B5"/>
    <mergeCell ref="C20:I20"/>
    <mergeCell ref="A20:A23"/>
    <mergeCell ref="C29:I29"/>
    <mergeCell ref="C10:I10"/>
    <mergeCell ref="C16:I16"/>
    <mergeCell ref="C47:I47"/>
    <mergeCell ref="C25:I25"/>
    <mergeCell ref="C41:I41"/>
    <mergeCell ref="C8:D8"/>
    <mergeCell ref="A4:B4"/>
    <mergeCell ref="C31:I31"/>
    <mergeCell ref="C44:I44"/>
    <mergeCell ref="A44:A47"/>
    <mergeCell ref="C22:I22"/>
    <mergeCell ref="C40:I40"/>
    <mergeCell ref="C7:D7"/>
    <mergeCell ref="E7:F7"/>
    <mergeCell ref="A7:B8"/>
    <mergeCell ref="A10:B10"/>
    <mergeCell ref="C21:I21"/>
    <mergeCell ref="A1:I1"/>
    <mergeCell ref="C12:I12"/>
    <mergeCell ref="A28:A31"/>
    <mergeCell ref="C43:I43"/>
    <mergeCell ref="C46:I46"/>
    <mergeCell ref="C2:I2"/>
    <mergeCell ref="A9:B9"/>
    <mergeCell ref="A24:A27"/>
    <mergeCell ref="C11:I11"/>
    <mergeCell ref="C27:I27"/>
    <mergeCell ref="A40:A43"/>
  </mergeCells>
  <dataValidations count="1">
    <dataValidation sqref="C23 C27 C31 C35 C39 C43 C47" showDropDown="0" showInputMessage="0" showErrorMessage="0" allowBlank="1" type="list">
      <formula1>"OK,NOK"</formula1>
    </dataValidation>
  </dataValidation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1" customWidth="1" min="5" max="5"/>
    <col width="12" customWidth="1" min="6" max="6"/>
    <col width="12" customWidth="1" min="7" max="7"/>
    <col width="12" customWidth="1" min="8" max="8"/>
    <col width="10" customWidth="1" min="9" max="9"/>
    <col width="11" customWidth="1" min="10" max="10"/>
    <col width="11" customWidth="1" min="11" max="11"/>
    <col width="9" customWidth="1" min="12" max="12"/>
    <col width="28" customWidth="1" min="13" max="13"/>
  </cols>
  <sheetData>
    <row r="1">
      <c r="A1" s="14" t="inlineStr">
        <is>
          <t>TCO1–EBS tolerans (± km/h)</t>
        </is>
      </c>
      <c r="C1" s="15" t="n">
        <v>2</v>
      </c>
      <c r="D1" s="16" t="inlineStr">
        <is>
          <t>← Parametreler öneridir (cluster sınırı ECE R39 mantığı: 0 ≤ Cluster–Gerçek hız ≤ %10 × hız + 4 km/h). Proje ile teyit edilecek.</t>
        </is>
      </c>
    </row>
    <row r="2">
      <c r="A2" s="14" t="inlineStr">
        <is>
          <t>Cluster üst sınır oranı (× TCO1)</t>
        </is>
      </c>
      <c r="C2" s="17" t="n">
        <v>0.1</v>
      </c>
    </row>
    <row r="3">
      <c r="A3" s="14" t="inlineStr">
        <is>
          <t>Cluster üst sınır sabit (km/h)</t>
        </is>
      </c>
      <c r="C3" s="15" t="n">
        <v>4</v>
      </c>
    </row>
    <row r="4">
      <c r="A4" s="14" t="inlineStr">
        <is>
          <t>Cluster okuma toleransı (km/h)</t>
        </is>
      </c>
      <c r="C4" s="15" t="n">
        <v>1</v>
      </c>
    </row>
    <row r="6" ht="42" customHeight="1">
      <c r="A6" s="18" t="inlineStr">
        <is>
          <t>Hız Kademesi (km/h)</t>
        </is>
      </c>
      <c r="B6" s="18" t="inlineStr">
        <is>
          <t>TCO1 Hızı ort. (km/h)</t>
        </is>
      </c>
      <c r="C6" s="18" t="inlineStr">
        <is>
          <t>EBS Hızı ort. (km/h)</t>
        </is>
      </c>
      <c r="D6" s="18" t="inlineStr">
        <is>
          <t>Cluster Okunan (km/h)</t>
        </is>
      </c>
      <c r="E6" s="18" t="inlineStr">
        <is>
          <t>GPS Hızı ops. (km/h)</t>
        </is>
      </c>
      <c r="F6" s="18" t="inlineStr">
        <is>
          <t>Fark TCO1–EBS (km/h)</t>
        </is>
      </c>
      <c r="G6" s="18" t="inlineStr">
        <is>
          <t>Fark Cluster–TCO1 (km/h)</t>
        </is>
      </c>
      <c r="H6" s="18" t="inlineStr">
        <is>
          <t>Cluster Üst Sınır (km/h)</t>
        </is>
      </c>
      <c r="I6" s="18" t="inlineStr">
        <is>
          <t>Kesinti Sayısı</t>
        </is>
      </c>
      <c r="J6" s="18" t="inlineStr">
        <is>
          <t>OK/NOK TCO1–EBS</t>
        </is>
      </c>
      <c r="K6" s="18" t="inlineStr">
        <is>
          <t>OK/NOK Cluster</t>
        </is>
      </c>
      <c r="L6" s="18" t="inlineStr">
        <is>
          <t>GENEL</t>
        </is>
      </c>
      <c r="M6" s="18" t="inlineStr">
        <is>
          <t>Açıklama</t>
        </is>
      </c>
    </row>
    <row r="7">
      <c r="A7" s="19" t="n">
        <v>10</v>
      </c>
      <c r="B7" s="20" t="n"/>
      <c r="C7" s="20" t="n"/>
      <c r="D7" s="20" t="n"/>
      <c r="E7" s="20" t="n"/>
      <c r="F7" s="21">
        <f>IF(OR(B7="",C7=""),"",B7-C7)</f>
        <v/>
      </c>
      <c r="G7" s="21">
        <f>IF(OR(B7="",D7=""),"",D7-B7)</f>
        <v/>
      </c>
      <c r="H7" s="21">
        <f>IF(B7="","",B7+$C$2*B7+$C$3)</f>
        <v/>
      </c>
      <c r="I7" s="22" t="n"/>
      <c r="J7" s="19">
        <f>IF(F7="","",IF(AND(ABS(F7)&lt;=$C$1,OR(I7="",I7=0)),"OK","NOK"))</f>
        <v/>
      </c>
      <c r="K7" s="19">
        <f>IF(G7="","",IF(AND(G7&gt;=-$C$4,D7&lt;=H7),"OK","NOK"))</f>
        <v/>
      </c>
      <c r="L7" s="19">
        <f>IF(OR(J7="",K7=""),"",IF(AND(J7="OK",K7="OK"),"OK","NOK"))</f>
        <v/>
      </c>
      <c r="M7" s="23" t="n"/>
    </row>
    <row r="8">
      <c r="A8" s="19" t="n">
        <v>20</v>
      </c>
      <c r="B8" s="20" t="n"/>
      <c r="C8" s="20" t="n"/>
      <c r="D8" s="20" t="n"/>
      <c r="E8" s="20" t="n"/>
      <c r="F8" s="21">
        <f>IF(OR(B8="",C8=""),"",B8-C8)</f>
        <v/>
      </c>
      <c r="G8" s="21">
        <f>IF(OR(B8="",D8=""),"",D8-B8)</f>
        <v/>
      </c>
      <c r="H8" s="21">
        <f>IF(B8="","",B8+$C$2*B8+$C$3)</f>
        <v/>
      </c>
      <c r="I8" s="22" t="n"/>
      <c r="J8" s="19">
        <f>IF(F8="","",IF(AND(ABS(F8)&lt;=$C$1,OR(I8="",I8=0)),"OK","NOK"))</f>
        <v/>
      </c>
      <c r="K8" s="19">
        <f>IF(G8="","",IF(AND(G8&gt;=-$C$4,D8&lt;=H8),"OK","NOK"))</f>
        <v/>
      </c>
      <c r="L8" s="19">
        <f>IF(OR(J8="",K8=""),"",IF(AND(J8="OK",K8="OK"),"OK","NOK"))</f>
        <v/>
      </c>
      <c r="M8" s="23" t="n"/>
    </row>
    <row r="9">
      <c r="A9" s="19" t="n">
        <v>30</v>
      </c>
      <c r="B9" s="20" t="n"/>
      <c r="C9" s="20" t="n"/>
      <c r="D9" s="20" t="n"/>
      <c r="E9" s="20" t="n"/>
      <c r="F9" s="21">
        <f>IF(OR(B9="",C9=""),"",B9-C9)</f>
        <v/>
      </c>
      <c r="G9" s="21">
        <f>IF(OR(B9="",D9=""),"",D9-B9)</f>
        <v/>
      </c>
      <c r="H9" s="21">
        <f>IF(B9="","",B9+$C$2*B9+$C$3)</f>
        <v/>
      </c>
      <c r="I9" s="22" t="n"/>
      <c r="J9" s="19">
        <f>IF(F9="","",IF(AND(ABS(F9)&lt;=$C$1,OR(I9="",I9=0)),"OK","NOK"))</f>
        <v/>
      </c>
      <c r="K9" s="19">
        <f>IF(G9="","",IF(AND(G9&gt;=-$C$4,D9&lt;=H9),"OK","NOK"))</f>
        <v/>
      </c>
      <c r="L9" s="19">
        <f>IF(OR(J9="",K9=""),"",IF(AND(J9="OK",K9="OK"),"OK","NOK"))</f>
        <v/>
      </c>
      <c r="M9" s="23" t="n"/>
    </row>
    <row r="10">
      <c r="A10" s="19" t="n">
        <v>40</v>
      </c>
      <c r="B10" s="20" t="n"/>
      <c r="C10" s="20" t="n"/>
      <c r="D10" s="20" t="n"/>
      <c r="E10" s="20" t="n"/>
      <c r="F10" s="21">
        <f>IF(OR(B10="",C10=""),"",B10-C10)</f>
        <v/>
      </c>
      <c r="G10" s="21">
        <f>IF(OR(B10="",D10=""),"",D10-B10)</f>
        <v/>
      </c>
      <c r="H10" s="21">
        <f>IF(B10="","",B10+$C$2*B10+$C$3)</f>
        <v/>
      </c>
      <c r="I10" s="22" t="n"/>
      <c r="J10" s="19">
        <f>IF(F10="","",IF(AND(ABS(F10)&lt;=$C$1,OR(I10="",I10=0)),"OK","NOK"))</f>
        <v/>
      </c>
      <c r="K10" s="19">
        <f>IF(G10="","",IF(AND(G10&gt;=-$C$4,D10&lt;=H10),"OK","NOK"))</f>
        <v/>
      </c>
      <c r="L10" s="19">
        <f>IF(OR(J10="",K10=""),"",IF(AND(J10="OK",K10="OK"),"OK","NOK"))</f>
        <v/>
      </c>
      <c r="M10" s="23" t="n"/>
    </row>
    <row r="11">
      <c r="A11" s="19" t="n">
        <v>50</v>
      </c>
      <c r="B11" s="20" t="n"/>
      <c r="C11" s="20" t="n"/>
      <c r="D11" s="20" t="n"/>
      <c r="E11" s="20" t="n"/>
      <c r="F11" s="21">
        <f>IF(OR(B11="",C11=""),"",B11-C11)</f>
        <v/>
      </c>
      <c r="G11" s="21">
        <f>IF(OR(B11="",D11=""),"",D11-B11)</f>
        <v/>
      </c>
      <c r="H11" s="21">
        <f>IF(B11="","",B11+$C$2*B11+$C$3)</f>
        <v/>
      </c>
      <c r="I11" s="22" t="n"/>
      <c r="J11" s="19">
        <f>IF(F11="","",IF(AND(ABS(F11)&lt;=$C$1,OR(I11="",I11=0)),"OK","NOK"))</f>
        <v/>
      </c>
      <c r="K11" s="19">
        <f>IF(G11="","",IF(AND(G11&gt;=-$C$4,D11&lt;=H11),"OK","NOK"))</f>
        <v/>
      </c>
      <c r="L11" s="19">
        <f>IF(OR(J11="",K11=""),"",IF(AND(J11="OK",K11="OK"),"OK","NOK"))</f>
        <v/>
      </c>
      <c r="M11" s="23" t="n"/>
    </row>
    <row r="12">
      <c r="A12" s="19" t="n">
        <v>60</v>
      </c>
      <c r="B12" s="20" t="n"/>
      <c r="C12" s="20" t="n"/>
      <c r="D12" s="20" t="n"/>
      <c r="E12" s="20" t="n"/>
      <c r="F12" s="21">
        <f>IF(OR(B12="",C12=""),"",B12-C12)</f>
        <v/>
      </c>
      <c r="G12" s="21">
        <f>IF(OR(B12="",D12=""),"",D12-B12)</f>
        <v/>
      </c>
      <c r="H12" s="21">
        <f>IF(B12="","",B12+$C$2*B12+$C$3)</f>
        <v/>
      </c>
      <c r="I12" s="22" t="n"/>
      <c r="J12" s="19">
        <f>IF(F12="","",IF(AND(ABS(F12)&lt;=$C$1,OR(I12="",I12=0)),"OK","NOK"))</f>
        <v/>
      </c>
      <c r="K12" s="19">
        <f>IF(G12="","",IF(AND(G12&gt;=-$C$4,D12&lt;=H12),"OK","NOK"))</f>
        <v/>
      </c>
      <c r="L12" s="19">
        <f>IF(OR(J12="",K12=""),"",IF(AND(J12="OK",K12="OK"),"OK","NOK"))</f>
        <v/>
      </c>
      <c r="M12" s="23" t="n"/>
    </row>
    <row r="13">
      <c r="A13" s="19" t="n">
        <v>70</v>
      </c>
      <c r="B13" s="20" t="n"/>
      <c r="C13" s="20" t="n"/>
      <c r="D13" s="20" t="n"/>
      <c r="E13" s="20" t="n"/>
      <c r="F13" s="21">
        <f>IF(OR(B13="",C13=""),"",B13-C13)</f>
        <v/>
      </c>
      <c r="G13" s="21">
        <f>IF(OR(B13="",D13=""),"",D13-B13)</f>
        <v/>
      </c>
      <c r="H13" s="21">
        <f>IF(B13="","",B13+$C$2*B13+$C$3)</f>
        <v/>
      </c>
      <c r="I13" s="22" t="n"/>
      <c r="J13" s="19">
        <f>IF(F13="","",IF(AND(ABS(F13)&lt;=$C$1,OR(I13="",I13=0)),"OK","NOK"))</f>
        <v/>
      </c>
      <c r="K13" s="19">
        <f>IF(G13="","",IF(AND(G13&gt;=-$C$4,D13&lt;=H13),"OK","NOK"))</f>
        <v/>
      </c>
      <c r="L13" s="19">
        <f>IF(OR(J13="",K13=""),"",IF(AND(J13="OK",K13="OK"),"OK","NOK"))</f>
        <v/>
      </c>
      <c r="M13" s="23" t="n"/>
    </row>
    <row r="14">
      <c r="A14" s="19" t="n">
        <v>80</v>
      </c>
      <c r="B14" s="20" t="n"/>
      <c r="C14" s="20" t="n"/>
      <c r="D14" s="20" t="n"/>
      <c r="E14" s="20" t="n"/>
      <c r="F14" s="21">
        <f>IF(OR(B14="",C14=""),"",B14-C14)</f>
        <v/>
      </c>
      <c r="G14" s="21">
        <f>IF(OR(B14="",D14=""),"",D14-B14)</f>
        <v/>
      </c>
      <c r="H14" s="21">
        <f>IF(B14="","",B14+$C$2*B14+$C$3)</f>
        <v/>
      </c>
      <c r="I14" s="22" t="n"/>
      <c r="J14" s="19">
        <f>IF(F14="","",IF(AND(ABS(F14)&lt;=$C$1,OR(I14="",I14=0)),"OK","NOK"))</f>
        <v/>
      </c>
      <c r="K14" s="19">
        <f>IF(G14="","",IF(AND(G14&gt;=-$C$4,D14&lt;=H14),"OK","NOK"))</f>
        <v/>
      </c>
      <c r="L14" s="19">
        <f>IF(OR(J14="",K14=""),"",IF(AND(J14="OK",K14="OK"),"OK","NOK"))</f>
        <v/>
      </c>
      <c r="M14" s="23" t="n"/>
    </row>
    <row r="16">
      <c r="A16" s="16" t="inlineStr">
        <is>
          <t>Örnek: 50 km/h kademesi → TCO1 50,4 / EBS 49,8 / Cluster 53 → TCO1–EBS 0,6 (OK); Cluster–TCO1 2,6, üst sınır 59,4 (OK) → GENEL OK</t>
        </is>
      </c>
    </row>
    <row r="17">
      <c r="A17" s="16" t="inlineStr">
        <is>
          <t>Mavi/sarı hücreler ölçümden girilir; farklar ve OK/NOK formülle hesaplanır. Kesinti Sayısı: TCO1 &gt; 150 ms boşluk veya hızın anlık 0'a / geçersiz değere düşmesi.</t>
        </is>
      </c>
    </row>
  </sheetData>
  <conditionalFormatting sqref="J7:J14">
    <cfRule type="cellIs" priority="1" operator="equal" dxfId="0">
      <formula>"OK"</formula>
    </cfRule>
    <cfRule type="cellIs" priority="2" operator="equal" dxfId="1">
      <formula>"NOK"</formula>
    </cfRule>
  </conditionalFormatting>
  <conditionalFormatting sqref="K7:K14">
    <cfRule type="cellIs" priority="3" operator="equal" dxfId="0">
      <formula>"OK"</formula>
    </cfRule>
    <cfRule type="cellIs" priority="4" operator="equal" dxfId="1">
      <formula>"NOK"</formula>
    </cfRule>
  </conditionalFormatting>
  <conditionalFormatting sqref="L7:L14">
    <cfRule type="cellIs" priority="5" operator="equal" dxfId="0">
      <formula>"OK"</formula>
    </cfRule>
    <cfRule type="cellIs" priority="6" operator="equal" dxfId="1">
      <formula>"NOK"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5" customWidth="1" min="1" max="1"/>
    <col width="52" customWidth="1" min="2" max="2"/>
    <col width="16" customWidth="1" min="3" max="3"/>
    <col width="22" customWidth="1" min="4" max="4"/>
    <col width="34" customWidth="1" min="5" max="5"/>
  </cols>
  <sheetData>
    <row r="1" ht="42" customHeight="1">
      <c r="A1" s="18" t="inlineStr">
        <is>
          <t>No</t>
        </is>
      </c>
      <c r="B1" s="18" t="inlineStr">
        <is>
          <t>EMC Kaynağı / Tüketici</t>
        </is>
      </c>
      <c r="C1" s="18" t="inlineStr">
        <is>
          <t>Test Sırasında AÇIK (☐/☑)</t>
        </is>
      </c>
      <c r="D1" s="18" t="inlineStr">
        <is>
          <t>Açma-Kapama Geçişinde Hız Sinyali Etkilendi mi? (E/H)</t>
        </is>
      </c>
      <c r="E1" s="18" t="inlineStr">
        <is>
          <t>Not</t>
        </is>
      </c>
    </row>
    <row r="2">
      <c r="A2" s="7" t="n">
        <v>1</v>
      </c>
      <c r="B2" s="9" t="inlineStr">
        <is>
          <t>Klima / HVAC kompresörü ve fanları (tam yük)</t>
        </is>
      </c>
      <c r="C2" s="8" t="inlineStr">
        <is>
          <t>☐</t>
        </is>
      </c>
      <c r="D2" s="8" t="inlineStr"/>
      <c r="E2" s="5" t="inlineStr"/>
    </row>
    <row r="3">
      <c r="A3" s="7" t="n">
        <v>2</v>
      </c>
      <c r="B3" s="9" t="inlineStr">
        <is>
          <t>Kalorifer / ısıtıcılar, ön cam rezistansı (defroster), ayna ısıtma</t>
        </is>
      </c>
      <c r="C3" s="8" t="inlineStr">
        <is>
          <t>☐</t>
        </is>
      </c>
      <c r="D3" s="8" t="inlineStr"/>
      <c r="E3" s="5" t="inlineStr"/>
    </row>
    <row r="4">
      <c r="A4" s="7" t="n">
        <v>3</v>
      </c>
      <c r="B4" s="9" t="inlineStr">
        <is>
          <t>Tüm dış aydınlatma (far, sis, stop, sinyal, marker lambaları)</t>
        </is>
      </c>
      <c r="C4" s="8" t="inlineStr">
        <is>
          <t>☐</t>
        </is>
      </c>
      <c r="D4" s="8" t="inlineStr"/>
      <c r="E4" s="5" t="inlineStr"/>
    </row>
    <row r="5">
      <c r="A5" s="7" t="n">
        <v>4</v>
      </c>
      <c r="B5" s="9" t="inlineStr">
        <is>
          <t>Tüm iç aydınlatma (salon, sürücü, basamak)</t>
        </is>
      </c>
      <c r="C5" s="8" t="inlineStr">
        <is>
          <t>☐</t>
        </is>
      </c>
      <c r="D5" s="8" t="inlineStr"/>
      <c r="E5" s="5" t="inlineStr"/>
    </row>
    <row r="6">
      <c r="A6" s="7" t="n">
        <v>5</v>
      </c>
      <c r="B6" s="9" t="inlineStr">
        <is>
          <t>Kapı motorları / kapı kontrol üniteleri (açma-kapama)</t>
        </is>
      </c>
      <c r="C6" s="8" t="inlineStr">
        <is>
          <t>☐</t>
        </is>
      </c>
      <c r="D6" s="8" t="inlineStr"/>
      <c r="E6" s="5" t="inlineStr"/>
    </row>
    <row r="7">
      <c r="A7" s="7" t="n">
        <v>6</v>
      </c>
      <c r="B7" s="9" t="inlineStr">
        <is>
          <t>Silecek motorları ve yıkama pompası</t>
        </is>
      </c>
      <c r="C7" s="8" t="inlineStr">
        <is>
          <t>☐</t>
        </is>
      </c>
      <c r="D7" s="8" t="inlineStr"/>
      <c r="E7" s="5" t="inlineStr"/>
    </row>
    <row r="8">
      <c r="A8" s="7" t="n">
        <v>7</v>
      </c>
      <c r="B8" s="9" t="inlineStr">
        <is>
          <t>Retarder / motor freni</t>
        </is>
      </c>
      <c r="C8" s="8" t="inlineStr">
        <is>
          <t>☐</t>
        </is>
      </c>
      <c r="D8" s="8" t="inlineStr"/>
      <c r="E8" s="5" t="inlineStr"/>
    </row>
    <row r="9">
      <c r="A9" s="7" t="n">
        <v>8</v>
      </c>
      <c r="B9" s="9" t="inlineStr">
        <is>
          <t>Kneeling / ECAS süspansiyon</t>
        </is>
      </c>
      <c r="C9" s="8" t="inlineStr">
        <is>
          <t>☐</t>
        </is>
      </c>
      <c r="D9" s="8" t="inlineStr"/>
      <c r="E9" s="5" t="inlineStr"/>
    </row>
    <row r="10">
      <c r="A10" s="7" t="n">
        <v>9</v>
      </c>
      <c r="B10" s="9" t="inlineStr">
        <is>
          <t>Hava kompresörü</t>
        </is>
      </c>
      <c r="C10" s="8" t="inlineStr">
        <is>
          <t>☐</t>
        </is>
      </c>
      <c r="D10" s="8" t="inlineStr"/>
      <c r="E10" s="5" t="inlineStr"/>
    </row>
    <row r="11">
      <c r="A11" s="7" t="n">
        <v>10</v>
      </c>
      <c r="B11" s="9" t="inlineStr">
        <is>
          <t>Direksiyon pompası / elektro-hidrolik direksiyon</t>
        </is>
      </c>
      <c r="C11" s="8" t="inlineStr">
        <is>
          <t>☐</t>
        </is>
      </c>
      <c r="D11" s="8" t="inlineStr"/>
      <c r="E11" s="5" t="inlineStr"/>
    </row>
    <row r="12">
      <c r="A12" s="7" t="n">
        <v>11</v>
      </c>
      <c r="B12" s="9" t="inlineStr">
        <is>
          <t>Alternatör / DC-DC konvertör</t>
        </is>
      </c>
      <c r="C12" s="8" t="inlineStr">
        <is>
          <t>☐</t>
        </is>
      </c>
      <c r="D12" s="8" t="inlineStr"/>
      <c r="E12" s="5" t="inlineStr"/>
    </row>
    <row r="13">
      <c r="A13" s="7" t="n">
        <v>12</v>
      </c>
      <c r="B13" s="9" t="inlineStr">
        <is>
          <t>Çekiş inverteri / elektrik motoru ve yardımcı inverterler (varsa)</t>
        </is>
      </c>
      <c r="C13" s="8" t="inlineStr">
        <is>
          <t>☐</t>
        </is>
      </c>
      <c r="D13" s="8" t="inlineStr"/>
      <c r="E13" s="5" t="inlineStr"/>
    </row>
    <row r="14">
      <c r="A14" s="7" t="n">
        <v>13</v>
      </c>
      <c r="B14" s="9" t="inlineStr">
        <is>
          <t>Yolcu bilgilendirme ekranları, anons sistemi, hedef tabelaları</t>
        </is>
      </c>
      <c r="C14" s="8" t="inlineStr">
        <is>
          <t>☐</t>
        </is>
      </c>
      <c r="D14" s="8" t="inlineStr"/>
      <c r="E14" s="5" t="inlineStr"/>
    </row>
    <row r="15">
      <c r="A15" s="7" t="n">
        <v>14</v>
      </c>
      <c r="B15" s="9" t="inlineStr">
        <is>
          <t>Bilet validatörleri, WiFi / modem / telsiz / GSM</t>
        </is>
      </c>
      <c r="C15" s="8" t="inlineStr">
        <is>
          <t>☐</t>
        </is>
      </c>
      <c r="D15" s="8" t="inlineStr"/>
      <c r="E15" s="5" t="inlineStr"/>
    </row>
    <row r="16">
      <c r="A16" s="7" t="n">
        <v>15</v>
      </c>
      <c r="B16" s="9" t="inlineStr">
        <is>
          <t>Kamera sistemleri (ayna kamera, geri görüş, kabin içi)</t>
        </is>
      </c>
      <c r="C16" s="8" t="inlineStr">
        <is>
          <t>☐</t>
        </is>
      </c>
      <c r="D16" s="8" t="inlineStr"/>
      <c r="E16" s="5" t="inlineStr"/>
    </row>
    <row r="17">
      <c r="A17" s="7" t="n">
        <v>16</v>
      </c>
      <c r="B17" s="9" t="inlineStr">
        <is>
          <t>USB şarj soketleri</t>
        </is>
      </c>
      <c r="C17" s="8" t="inlineStr">
        <is>
          <t>☐</t>
        </is>
      </c>
      <c r="D17" s="8" t="inlineStr"/>
      <c r="E17" s="5" t="inlineStr"/>
    </row>
    <row r="18">
      <c r="A18" s="7" t="n">
        <v>17</v>
      </c>
      <c r="B18" s="9" t="inlineStr">
        <is>
          <t>Diğer (belirtiniz)</t>
        </is>
      </c>
      <c r="C18" s="8" t="inlineStr">
        <is>
          <t>☐</t>
        </is>
      </c>
      <c r="D18" s="8" t="inlineStr"/>
      <c r="E18" s="5" t="inlineStr"/>
    </row>
  </sheetData>
  <dataValidations count="1">
    <dataValidation sqref="D2 D3 D4 D5 D6 D7 D8 D9 D10 D11 D12 D13 D14 D15 D16 D17 D18" showDropDown="0" showInputMessage="0" showErrorMessage="0" allowBlank="1" type="list">
      <formula1>"E,H"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4" customWidth="1" min="3" max="3"/>
    <col width="28" customWidth="1" min="4" max="4"/>
    <col width="20" customWidth="1" min="5" max="5"/>
    <col width="22" customWidth="1" min="6" max="6"/>
    <col width="9" customWidth="1" min="7" max="7"/>
    <col width="44" customWidth="1" min="8" max="8"/>
  </cols>
  <sheetData>
    <row r="1">
      <c r="A1" s="24" t="inlineStr">
        <is>
          <t>Kaynak ECU</t>
        </is>
      </c>
      <c r="B1" s="24" t="inlineStr">
        <is>
          <t>Mesaj</t>
        </is>
      </c>
      <c r="C1" s="24" t="inlineStr">
        <is>
          <t>CAN ID (29-bit)</t>
        </is>
      </c>
      <c r="D1" s="24" t="inlineStr">
        <is>
          <t>Sinyal</t>
        </is>
      </c>
      <c r="E1" s="24" t="inlineStr">
        <is>
          <t>Byte / Bit (Intel)</t>
        </is>
      </c>
      <c r="F1" s="24" t="inlineStr">
        <is>
          <t>Ölçek / Birim</t>
        </is>
      </c>
      <c r="G1" s="24" t="inlineStr">
        <is>
          <t>Periyot</t>
        </is>
      </c>
      <c r="H1" s="24" t="inlineStr">
        <is>
          <t>Kontrol Amacı</t>
        </is>
      </c>
    </row>
    <row r="2">
      <c r="A2" s="9" t="inlineStr">
        <is>
          <t>Takograf</t>
        </is>
      </c>
      <c r="B2" s="9" t="inlineStr">
        <is>
          <t>TCO1 (PGN 0xFE6C)</t>
        </is>
      </c>
      <c r="C2" s="9" t="inlineStr">
        <is>
          <t>0x0CFE6CEE</t>
        </is>
      </c>
      <c r="D2" s="25" t="inlineStr">
        <is>
          <t>TachographVehicleSpeed</t>
        </is>
      </c>
      <c r="E2" s="9" t="inlineStr">
        <is>
          <t>Byte 7-8 / bit 48, 16 bit</t>
        </is>
      </c>
      <c r="F2" s="9" t="inlineStr">
        <is>
          <t>0.00390625 km/h/bit (1/256)</t>
        </is>
      </c>
      <c r="G2" s="9" t="inlineStr">
        <is>
          <t>50 ms</t>
        </is>
      </c>
      <c r="H2" s="9" t="inlineStr">
        <is>
          <t>ANA TEST SİNYALİ – KITAS kaynaklı araç hızı. Hız = (Byte8×256+Byte7)/256. Byte8=0xFE hata, 0xFF mevcut değil</t>
        </is>
      </c>
    </row>
    <row r="3">
      <c r="A3" s="9" t="inlineStr">
        <is>
          <t>Takograf</t>
        </is>
      </c>
      <c r="B3" s="9" t="inlineStr">
        <is>
          <t>TCO1 (PGN 0xFE6C)</t>
        </is>
      </c>
      <c r="C3" s="9" t="inlineStr">
        <is>
          <t>0x0CFE6CEE</t>
        </is>
      </c>
      <c r="D3" s="9" t="inlineStr">
        <is>
          <t>TachopraphOutputShaftSpeed</t>
        </is>
      </c>
      <c r="E3" s="9" t="inlineStr">
        <is>
          <t>Byte 5-6 / bit 32, 16 bit</t>
        </is>
      </c>
      <c r="F3" s="9" t="inlineStr">
        <is>
          <t>0.125 rpm/bit</t>
        </is>
      </c>
      <c r="G3" s="9" t="inlineStr">
        <is>
          <t>50 ms</t>
        </is>
      </c>
      <c r="H3" s="9" t="inlineStr">
        <is>
          <t>KITAS darbe bilgisi tutarlılığı</t>
        </is>
      </c>
    </row>
    <row r="4">
      <c r="A4" s="9" t="inlineStr">
        <is>
          <t>Takograf</t>
        </is>
      </c>
      <c r="B4" s="9" t="inlineStr">
        <is>
          <t>TCO1 (PGN 0xFE6C)</t>
        </is>
      </c>
      <c r="C4" s="9" t="inlineStr">
        <is>
          <t>0x0CFE6CEE</t>
        </is>
      </c>
      <c r="D4" s="9" t="inlineStr">
        <is>
          <t>VehicleMotion</t>
        </is>
      </c>
      <c r="E4" s="9" t="inlineStr">
        <is>
          <t>Byte 1 / bit 6, 2 bit</t>
        </is>
      </c>
      <c r="F4" s="9" t="inlineStr">
        <is>
          <t>00 = hareket yok, 01 = hareket var</t>
        </is>
      </c>
      <c r="G4" s="9" t="inlineStr">
        <is>
          <t>50 ms</t>
        </is>
      </c>
      <c r="H4" s="9" t="inlineStr">
        <is>
          <t>Hareket sırasında 00'a düşmemeli (kesinti göstergesi)</t>
        </is>
      </c>
    </row>
    <row r="5">
      <c r="A5" s="9" t="inlineStr">
        <is>
          <t>Takograf</t>
        </is>
      </c>
      <c r="B5" s="9" t="inlineStr">
        <is>
          <t>TCO1 (PGN 0xFE6C)</t>
        </is>
      </c>
      <c r="C5" s="9" t="inlineStr">
        <is>
          <t>0x0CFE6CEE</t>
        </is>
      </c>
      <c r="D5" s="9" t="inlineStr">
        <is>
          <t>SystemEvent / TachographPerformance / HandlingInformation</t>
        </is>
      </c>
      <c r="E5" s="9" t="inlineStr">
        <is>
          <t>Byte 4 / bit 24, 28, 26</t>
        </is>
      </c>
      <c r="F5" s="9" t="inlineStr">
        <is>
          <t>2 bit durum</t>
        </is>
      </c>
      <c r="G5" s="9" t="inlineStr">
        <is>
          <t>50 ms</t>
        </is>
      </c>
      <c r="H5" s="9" t="inlineStr">
        <is>
          <t>Takograf olay/arıza bayrakları</t>
        </is>
      </c>
    </row>
    <row r="6">
      <c r="A6" s="9" t="inlineStr">
        <is>
          <t>Takograf</t>
        </is>
      </c>
      <c r="B6" s="9" t="inlineStr">
        <is>
          <t>VDHR (PGN 0xFEC1)</t>
        </is>
      </c>
      <c r="C6" s="9" t="inlineStr">
        <is>
          <t>0x18FEC1EE</t>
        </is>
      </c>
      <c r="D6" s="9" t="inlineStr">
        <is>
          <t>HighResolTotalVehicleD / TripDistance</t>
        </is>
      </c>
      <c r="E6" s="9" t="inlineStr">
        <is>
          <t>Byte 1-4 / 5-8</t>
        </is>
      </c>
      <c r="F6" s="9" t="inlineStr">
        <is>
          <t>5 m/bit</t>
        </is>
      </c>
      <c r="G6" s="9" t="inlineStr">
        <is>
          <t>1 s</t>
        </is>
      </c>
      <c r="H6" s="9" t="inlineStr">
        <is>
          <t>Mesafe artışının tutarlılığı (opsiyonel)</t>
        </is>
      </c>
    </row>
    <row r="7">
      <c r="A7" s="9" t="inlineStr">
        <is>
          <t>EBS</t>
        </is>
      </c>
      <c r="B7" s="9" t="inlineStr">
        <is>
          <t>EBC2 (PGN 0xFEBF)</t>
        </is>
      </c>
      <c r="C7" s="9" t="inlineStr">
        <is>
          <t>0x18FEBF0B *</t>
        </is>
      </c>
      <c r="D7" s="9" t="inlineStr">
        <is>
          <t>FrontAxleSpeed</t>
        </is>
      </c>
      <c r="E7" s="9" t="inlineStr">
        <is>
          <t>Byte 1-2</t>
        </is>
      </c>
      <c r="F7" s="9" t="inlineStr">
        <is>
          <t>1/256 km/h</t>
        </is>
      </c>
      <c r="G7" s="9" t="inlineStr">
        <is>
          <t>100 ms</t>
        </is>
      </c>
      <c r="H7" s="9" t="inlineStr">
        <is>
          <t>Referans hız (karşılaştırma ECU)</t>
        </is>
      </c>
    </row>
    <row r="8">
      <c r="A8" s="9" t="inlineStr">
        <is>
          <t>EBS</t>
        </is>
      </c>
      <c r="B8" s="9" t="inlineStr">
        <is>
          <t>CCVS1 (PGN 0xFEF1)</t>
        </is>
      </c>
      <c r="C8" s="9" t="inlineStr">
        <is>
          <t>0x18FEF1xx *</t>
        </is>
      </c>
      <c r="D8" s="9" t="inlineStr">
        <is>
          <t>WheelBasedVehicleSpeed</t>
        </is>
      </c>
      <c r="E8" s="9" t="inlineStr">
        <is>
          <t>Byte 2-3</t>
        </is>
      </c>
      <c r="F8" s="9" t="inlineStr">
        <is>
          <t>1/256 km/h</t>
        </is>
      </c>
      <c r="G8" s="9" t="inlineStr">
        <is>
          <t>100 ms</t>
        </is>
      </c>
      <c r="H8" s="9" t="inlineStr">
        <is>
          <t>Referans hız (kaynak adres DBC'den teyit)</t>
        </is>
      </c>
    </row>
    <row r="9">
      <c r="A9" s="9" t="inlineStr">
        <is>
          <t>Cluster</t>
        </is>
      </c>
      <c r="B9" s="9" t="inlineStr">
        <is>
          <t>Hız göstergesi (görsel)</t>
        </is>
      </c>
      <c r="C9" s="9" t="inlineStr">
        <is>
          <t>–</t>
        </is>
      </c>
      <c r="D9" s="9" t="inlineStr">
        <is>
          <t>Gösterilen hız</t>
        </is>
      </c>
      <c r="E9" s="9" t="inlineStr">
        <is>
          <t>–</t>
        </is>
      </c>
      <c r="F9" s="9" t="inlineStr">
        <is>
          <t>km/h</t>
        </is>
      </c>
      <c r="G9" s="9" t="inlineStr">
        <is>
          <t>–</t>
        </is>
      </c>
      <c r="H9" s="9" t="inlineStr">
        <is>
          <t>Kamera kaydı ile TCO1 / EBS'ye karşılaştırma</t>
        </is>
      </c>
    </row>
    <row r="10">
      <c r="A10" s="9" t="inlineStr">
        <is>
          <t>Opsiyonel</t>
        </is>
      </c>
      <c r="B10" s="9" t="inlineStr">
        <is>
          <t>GPS / VBOX</t>
        </is>
      </c>
      <c r="C10" s="9" t="inlineStr">
        <is>
          <t>–</t>
        </is>
      </c>
      <c r="D10" s="9" t="inlineStr">
        <is>
          <t>GNSS Speed</t>
        </is>
      </c>
      <c r="E10" s="9" t="inlineStr">
        <is>
          <t>–</t>
        </is>
      </c>
      <c r="F10" s="9" t="inlineStr">
        <is>
          <t>km/h</t>
        </is>
      </c>
      <c r="G10" s="9" t="inlineStr">
        <is>
          <t>–</t>
        </is>
      </c>
      <c r="H10" s="9" t="inlineStr">
        <is>
          <t>Bağımsız referans hız</t>
        </is>
      </c>
    </row>
    <row r="11" ht="30" customHeight="1">
      <c r="A11" s="26" t="inlineStr">
        <is>
          <t>* EBS mesaj ID'leri SAE J1939 standart değerleridir (SA 0x0B = fren sistemi); araç EBS DBC dosyası ile teyit edilmelidir. TCO1/VDHR ID'leri takograf DBC'sinden alınmıştır (DBC ID – 0x80000000).</t>
        </is>
      </c>
    </row>
  </sheetData>
  <mergeCells count="1">
    <mergeCell ref="A11:H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2026-09-30T13:02:42Z</dcterms:created>
  <dcterms:modified xsi:type="dcterms:W3CDTF">2026-09-30T13:02:42Z</dcterms:modified>
</cp:coreProperties>
</file>