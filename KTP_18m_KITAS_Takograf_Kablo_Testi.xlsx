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TP" sheetId="1" state="visible" r:id="rId1"/>
    <sheet name="EMC Kaynakları" sheetId="2" state="visible" r:id="rId2"/>
    <sheet name="Sinyal Listes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;-0.0;0.0"/>
  </numFmts>
  <fonts count="10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i val="1"/>
      <sz val="9"/>
    </font>
    <font>
      <name val="Arial"/>
      <sz val="9"/>
    </font>
    <font>
      <name val="Arial"/>
      <b val="1"/>
      <color rgb="00FF0000"/>
      <sz val="9"/>
    </font>
    <font>
      <name val="Arial"/>
      <sz val="12"/>
    </font>
    <font>
      <name val="Arial"/>
      <i val="1"/>
      <sz val="9"/>
    </font>
    <font>
      <name val="Arial"/>
      <color rgb="000000FF"/>
      <sz val="9"/>
    </font>
    <font>
      <name val="Arial"/>
      <b val="1"/>
      <sz val="9"/>
    </font>
    <font>
      <name val="Arial"/>
      <i val="1"/>
      <sz val="8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3" borderId="1" applyAlignment="1" pivotButton="0" quotePrefix="0" xfId="0">
      <alignment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8" fillId="2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4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20" customWidth="1" min="3" max="3"/>
    <col width="6" customWidth="1" min="4" max="4"/>
    <col width="20" customWidth="1" min="5" max="5"/>
    <col width="6" customWidth="1" min="6" max="6"/>
    <col width="20" customWidth="1" min="7" max="7"/>
    <col width="6" customWidth="1" min="8" max="8"/>
    <col width="20" customWidth="1" min="9" max="9"/>
  </cols>
  <sheetData>
    <row r="1" ht="36" customHeight="1">
      <c r="A1" s="1" t="inlineStr">
        <is>
          <t>KTP – 18m PROTOTİP ARAÇ KITAS SENSÖR – TAKOGRAF KABLOSU HIZ SİNYALİ DOĞRULAMA TESTİ (EMC KAYNAKLARI AÇIK)
CLUSTER – TAKOGRAF (TCO1) – EBS HIZ KARŞILAŞTIRMASI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KTP No / Rev.:</t>
        </is>
      </c>
      <c r="B2" s="4" t="n"/>
      <c r="C2" s="5" t="inlineStr">
        <is>
          <t>KTP-XXXX / Rev.03</t>
        </is>
      </c>
      <c r="D2" s="6" t="n"/>
      <c r="E2" s="6" t="n"/>
      <c r="F2" s="6" t="n"/>
      <c r="G2" s="6" t="n"/>
      <c r="H2" s="6" t="n"/>
      <c r="I2" s="6" t="n"/>
    </row>
    <row r="3">
      <c r="A3" s="3" t="inlineStr">
        <is>
          <t>Araç / Şasi No:</t>
        </is>
      </c>
      <c r="B3" s="4" t="n"/>
      <c r="C3" s="5" t="inlineStr">
        <is>
          <t>18m prototip – ………</t>
        </is>
      </c>
      <c r="D3" s="6" t="n"/>
      <c r="E3" s="6" t="n"/>
      <c r="F3" s="6" t="n"/>
      <c r="G3" s="6" t="n"/>
      <c r="H3" s="6" t="n"/>
      <c r="I3" s="6" t="n"/>
    </row>
    <row r="4">
      <c r="A4" s="3" t="inlineStr">
        <is>
          <t>Test Tarihi / Yeri:</t>
        </is>
      </c>
      <c r="B4" s="4" t="n"/>
      <c r="C4" s="5" t="inlineStr">
        <is>
          <t>…… / ……</t>
        </is>
      </c>
      <c r="D4" s="6" t="n"/>
      <c r="E4" s="6" t="n"/>
      <c r="F4" s="6" t="n"/>
      <c r="G4" s="6" t="n"/>
      <c r="H4" s="6" t="n"/>
      <c r="I4" s="6" t="n"/>
    </row>
    <row r="5">
      <c r="A5" s="3" t="inlineStr">
        <is>
          <t>Testi Yapan / Onaylayan:</t>
        </is>
      </c>
      <c r="B5" s="4" t="n"/>
      <c r="C5" s="5" t="inlineStr">
        <is>
          <t>…… / ……</t>
        </is>
      </c>
      <c r="D5" s="6" t="n"/>
      <c r="E5" s="6" t="n"/>
      <c r="F5" s="6" t="n"/>
      <c r="G5" s="6" t="n"/>
      <c r="H5" s="6" t="n"/>
      <c r="I5" s="6" t="n"/>
    </row>
    <row r="6">
      <c r="A6" s="3" t="inlineStr">
        <is>
          <t>Test Edilen Komponentler:</t>
        </is>
      </c>
      <c r="B6" s="4" t="n"/>
      <c r="C6" s="7" t="inlineStr">
        <is>
          <t>☐ KITAS Sensör + Kablo</t>
        </is>
      </c>
      <c r="D6" s="4" t="n"/>
      <c r="E6" s="7" t="inlineStr">
        <is>
          <t>☐ Takograf</t>
        </is>
      </c>
      <c r="F6" s="4" t="n"/>
      <c r="G6" s="7" t="inlineStr">
        <is>
          <t>☐ Cluster</t>
        </is>
      </c>
      <c r="H6" s="4" t="n"/>
      <c r="I6" s="7" t="inlineStr">
        <is>
          <t>☐ EBS (Referans)</t>
        </is>
      </c>
    </row>
    <row r="7">
      <c r="A7" s="3" t="inlineStr">
        <is>
          <t>Yazılım Versiyonları:</t>
        </is>
      </c>
      <c r="B7" s="4" t="n"/>
      <c r="C7" s="7" t="inlineStr">
        <is>
          <t>TAKOGRAF</t>
        </is>
      </c>
      <c r="D7" s="4" t="n"/>
      <c r="E7" s="7" t="inlineStr">
        <is>
          <t>CLUSTER</t>
        </is>
      </c>
      <c r="F7" s="4" t="n"/>
      <c r="G7" s="7" t="inlineStr">
        <is>
          <t>EBS</t>
        </is>
      </c>
      <c r="H7" s="4" t="n"/>
      <c r="I7" s="7" t="inlineStr">
        <is>
          <t>DİĞER</t>
        </is>
      </c>
    </row>
    <row r="8">
      <c r="A8" s="4" t="n"/>
      <c r="B8" s="4" t="n"/>
      <c r="C8" s="8" t="inlineStr">
        <is>
          <t>x.x.x.x</t>
        </is>
      </c>
      <c r="D8" s="6" t="n"/>
      <c r="E8" s="8" t="inlineStr">
        <is>
          <t>x.x.x.x</t>
        </is>
      </c>
      <c r="F8" s="6" t="n"/>
      <c r="G8" s="8" t="inlineStr">
        <is>
          <t>x.x.x.x</t>
        </is>
      </c>
      <c r="H8" s="6" t="n"/>
      <c r="I8" s="8" t="inlineStr">
        <is>
          <t>Belirtiniz</t>
        </is>
      </c>
    </row>
    <row r="9">
      <c r="A9" s="3" t="inlineStr">
        <is>
          <t>BUSLOAD:</t>
        </is>
      </c>
      <c r="B9" s="4" t="n"/>
      <c r="C9" s="7" t="inlineStr">
        <is>
          <t>KANAL 1 – Takograf CAN</t>
        </is>
      </c>
      <c r="D9" s="8" t="inlineStr">
        <is>
          <t>%</t>
        </is>
      </c>
      <c r="E9" s="7" t="inlineStr">
        <is>
          <t>KANAL 2 – EBS/Fren CAN</t>
        </is>
      </c>
      <c r="F9" s="8" t="inlineStr">
        <is>
          <t>%</t>
        </is>
      </c>
      <c r="G9" s="7" t="inlineStr">
        <is>
          <t>KANAL 3 – Cluster CAN</t>
        </is>
      </c>
      <c r="H9" s="8" t="inlineStr">
        <is>
          <t>%</t>
        </is>
      </c>
      <c r="I9" s="7" t="inlineStr">
        <is>
          <t>KANAL 4 – ……  %</t>
        </is>
      </c>
    </row>
    <row r="10">
      <c r="A10" s="3" t="inlineStr">
        <is>
          <t>Efor, Harcanan Saat:</t>
        </is>
      </c>
      <c r="B10" s="4" t="n"/>
      <c r="C10" s="5" t="inlineStr"/>
      <c r="D10" s="6" t="n"/>
      <c r="E10" s="6" t="n"/>
      <c r="F10" s="6" t="n"/>
      <c r="G10" s="6" t="n"/>
      <c r="H10" s="6" t="n"/>
      <c r="I10" s="6" t="n"/>
    </row>
    <row r="11" ht="18" customHeight="1">
      <c r="A11" s="3" t="inlineStr">
        <is>
          <t>Hazırlık ve Ön Koşullar:</t>
        </is>
      </c>
      <c r="B11" s="4" t="n"/>
      <c r="C11" s="9" t="inlineStr">
        <is>
          <t>Aracın LV sistemi sağlıklı, araç yol testine uygun olmalıdır.</t>
        </is>
      </c>
      <c r="D11" s="4" t="n"/>
      <c r="E11" s="4" t="n"/>
      <c r="F11" s="4" t="n"/>
      <c r="G11" s="4" t="n"/>
      <c r="H11" s="4" t="n"/>
      <c r="I11" s="4" t="n"/>
    </row>
    <row r="12" ht="18" customHeight="1">
      <c r="A12" s="4" t="n"/>
      <c r="B12" s="4" t="n"/>
      <c r="C12" s="9" t="inlineStr">
        <is>
          <t>KITAS sensör – takograf kablosu araçta nihai güzergâhında takılı ve konnektörleri kilitli olmalıdır.</t>
        </is>
      </c>
      <c r="D12" s="4" t="n"/>
      <c r="E12" s="4" t="n"/>
      <c r="F12" s="4" t="n"/>
      <c r="G12" s="4" t="n"/>
      <c r="H12" s="4" t="n"/>
      <c r="I12" s="4" t="n"/>
    </row>
    <row r="13" ht="18" customHeight="1">
      <c r="A13" s="4" t="n"/>
      <c r="B13" s="4" t="n"/>
      <c r="C13" s="9" t="inlineStr">
        <is>
          <t>Takograf kalibre edilmiş ve KITAS sensör eşleşmiş olmalıdır. Test öncesi aktif hata (DTC) olmamalıdır.</t>
        </is>
      </c>
      <c r="D13" s="4" t="n"/>
      <c r="E13" s="4" t="n"/>
      <c r="F13" s="4" t="n"/>
      <c r="G13" s="4" t="n"/>
      <c r="H13" s="4" t="n"/>
      <c r="I13" s="4" t="n"/>
    </row>
    <row r="14" ht="18" customHeight="1">
      <c r="A14" s="4" t="n"/>
      <c r="B14" s="4" t="n"/>
      <c r="C14" s="9" t="inlineStr">
        <is>
          <t>Takograf ve EBS CAN hatlarından eş zamanlı CAN kaydı alınmalıdır. (TCO1: 0x0CFE6CEE – TachographVehicleSpeed / EBS: EBC2 – CCVS1)</t>
        </is>
      </c>
      <c r="D14" s="4" t="n"/>
      <c r="E14" s="4" t="n"/>
      <c r="F14" s="4" t="n"/>
      <c r="G14" s="4" t="n"/>
      <c r="H14" s="4" t="n"/>
      <c r="I14" s="4" t="n"/>
    </row>
    <row r="15" ht="18" customHeight="1">
      <c r="A15" s="4" t="n"/>
      <c r="B15" s="4" t="n"/>
      <c r="C15" s="9" t="inlineStr">
        <is>
          <t>Cluster hız göstergesi test boyunca kamera ile kaydedilmelidir.</t>
        </is>
      </c>
      <c r="D15" s="4" t="n"/>
      <c r="E15" s="4" t="n"/>
      <c r="F15" s="4" t="n"/>
      <c r="G15" s="4" t="n"/>
      <c r="H15" s="4" t="n"/>
      <c r="I15" s="4" t="n"/>
    </row>
    <row r="16" ht="18" customHeight="1">
      <c r="A16" s="4" t="n"/>
      <c r="B16" s="4" t="n"/>
      <c r="C16" s="10" t="inlineStr">
        <is>
          <t>TÜM TESTLER EMC KAYNAKLARI AÇIKKEN YAPILACAKTIR. (Liste: 'EMC Kaynakları' sekmesi)</t>
        </is>
      </c>
      <c r="D16" s="4" t="n"/>
      <c r="E16" s="4" t="n"/>
      <c r="F16" s="4" t="n"/>
      <c r="G16" s="4" t="n"/>
      <c r="H16" s="4" t="n"/>
      <c r="I16" s="4" t="n"/>
    </row>
    <row r="17" ht="24" customHeight="1">
      <c r="A17" s="11" t="inlineStr">
        <is>
          <t>PROSEDÜR ve KABUL KRİTERLERİ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 ht="30" customHeight="1">
      <c r="A18" s="12" t="inlineStr">
        <is>
          <t>MADDE 1 :</t>
        </is>
      </c>
      <c r="B18" s="9" t="inlineStr">
        <is>
          <t>PROSEDÜR</t>
        </is>
      </c>
      <c r="C18" s="9" t="inlineStr">
        <is>
          <t>EMC kaynakları açılır, CAN kaydı başlatılır. Araç dururken hız değerleri kontrol edilir.</t>
        </is>
      </c>
      <c r="D18" s="4" t="n"/>
      <c r="E18" s="4" t="n"/>
      <c r="F18" s="4" t="n"/>
      <c r="G18" s="4" t="n"/>
      <c r="H18" s="4" t="n"/>
      <c r="I18" s="4" t="n"/>
    </row>
    <row r="19" ht="30" customHeight="1">
      <c r="A19" s="4" t="n"/>
      <c r="B19" s="9" t="inlineStr">
        <is>
          <t>KABUL KRİTERİ</t>
        </is>
      </c>
      <c r="C19" s="9" t="inlineStr">
        <is>
          <t>Takograf (TCO1), EBS ve cluster hızı 0 km/h olmalı. Hata uyarısı olmamalıdır.</t>
        </is>
      </c>
      <c r="D19" s="4" t="n"/>
      <c r="E19" s="4" t="n"/>
      <c r="F19" s="4" t="n"/>
      <c r="G19" s="4" t="n"/>
      <c r="H19" s="4" t="n"/>
      <c r="I19" s="4" t="n"/>
    </row>
    <row r="20" ht="24" customHeight="1">
      <c r="A20" s="4" t="n"/>
      <c r="B20" s="9" t="inlineStr">
        <is>
          <t>SONUÇ</t>
        </is>
      </c>
      <c r="C20" s="9" t="inlineStr">
        <is>
          <t>Takograf, EBS ve cluster hız değerleri 0 km/h görülür.</t>
        </is>
      </c>
      <c r="D20" s="4" t="n"/>
      <c r="E20" s="4" t="n"/>
      <c r="F20" s="4" t="n"/>
      <c r="G20" s="4" t="n"/>
      <c r="H20" s="4" t="n"/>
      <c r="I20" s="4" t="n"/>
    </row>
    <row r="21" ht="18" customHeight="1">
      <c r="A21" s="4" t="n"/>
      <c r="B21" s="9" t="inlineStr">
        <is>
          <t>OK / NOK</t>
        </is>
      </c>
      <c r="C21" s="5" t="inlineStr"/>
      <c r="D21" s="6" t="n"/>
      <c r="E21" s="6" t="n"/>
      <c r="F21" s="6" t="n"/>
      <c r="G21" s="6" t="n"/>
      <c r="H21" s="6" t="n"/>
      <c r="I21" s="6" t="n"/>
    </row>
    <row r="22" ht="30" customHeight="1">
      <c r="A22" s="12" t="inlineStr">
        <is>
          <t>MADDE 2 :</t>
        </is>
      </c>
      <c r="B22" s="9" t="inlineStr">
        <is>
          <t>PROSEDÜR</t>
        </is>
      </c>
      <c r="C22" s="9" t="inlineStr">
        <is>
          <t>Araç 10-20-30-40-50-60-70-80 km/h hızlarda en az 1'er dakika sabit sürülür.</t>
        </is>
      </c>
      <c r="D22" s="4" t="n"/>
      <c r="E22" s="4" t="n"/>
      <c r="F22" s="4" t="n"/>
      <c r="G22" s="4" t="n"/>
      <c r="H22" s="4" t="n"/>
      <c r="I22" s="4" t="n"/>
    </row>
    <row r="23" ht="30" customHeight="1">
      <c r="A23" s="4" t="n"/>
      <c r="B23" s="9" t="inlineStr">
        <is>
          <t>KABUL KRİTERİ</t>
        </is>
      </c>
      <c r="C23" s="9" t="inlineStr">
        <is>
          <t>Takograf hızı ile EBS hızı arasındaki fark en fazla ±2 km/h olmalıdır. Cluster hızı takograf hızından düşük olmamalıdır.</t>
        </is>
      </c>
      <c r="D23" s="4" t="n"/>
      <c r="E23" s="4" t="n"/>
      <c r="F23" s="4" t="n"/>
      <c r="G23" s="4" t="n"/>
      <c r="H23" s="4" t="n"/>
      <c r="I23" s="4" t="n"/>
    </row>
    <row r="24" ht="24" customHeight="1">
      <c r="A24" s="4" t="n"/>
      <c r="B24" s="9" t="inlineStr">
        <is>
          <t>SONUÇ</t>
        </is>
      </c>
      <c r="C24" s="9" t="inlineStr">
        <is>
          <t>Hız değerleri bu sayfanın altındaki 'HIZ KARŞILAŞTIRMA TABLOSU'na girilir, OK/NOK otomatik hesaplanır.</t>
        </is>
      </c>
      <c r="D24" s="4" t="n"/>
      <c r="E24" s="4" t="n"/>
      <c r="F24" s="4" t="n"/>
      <c r="G24" s="4" t="n"/>
      <c r="H24" s="4" t="n"/>
      <c r="I24" s="4" t="n"/>
    </row>
    <row r="25" ht="18" customHeight="1">
      <c r="A25" s="4" t="n"/>
      <c r="B25" s="9" t="inlineStr">
        <is>
          <t>OK / NOK</t>
        </is>
      </c>
      <c r="C25" s="5" t="inlineStr"/>
      <c r="D25" s="6" t="n"/>
      <c r="E25" s="6" t="n"/>
      <c r="F25" s="6" t="n"/>
      <c r="G25" s="6" t="n"/>
      <c r="H25" s="6" t="n"/>
      <c r="I25" s="6" t="n"/>
    </row>
    <row r="26" ht="30" customHeight="1">
      <c r="A26" s="12" t="inlineStr">
        <is>
          <t>MADDE 3 :</t>
        </is>
      </c>
      <c r="B26" s="9" t="inlineStr">
        <is>
          <t>PROSEDÜR</t>
        </is>
      </c>
      <c r="C26" s="9" t="inlineStr">
        <is>
          <t>Araç 0'dan maksimum hıza hızlandırılır, sonra frenle durdurulur. 3 kez tekrarlanır.</t>
        </is>
      </c>
      <c r="D26" s="4" t="n"/>
      <c r="E26" s="4" t="n"/>
      <c r="F26" s="4" t="n"/>
      <c r="G26" s="4" t="n"/>
      <c r="H26" s="4" t="n"/>
      <c r="I26" s="4" t="n"/>
    </row>
    <row r="27" ht="30" customHeight="1">
      <c r="A27" s="4" t="n"/>
      <c r="B27" s="9" t="inlineStr">
        <is>
          <t>KABUL KRİTERİ</t>
        </is>
      </c>
      <c r="C27" s="9" t="inlineStr">
        <is>
          <t>Takograf hız sinyalinde kesinti veya ani 0'a düşme olmamalıdır.</t>
        </is>
      </c>
      <c r="D27" s="4" t="n"/>
      <c r="E27" s="4" t="n"/>
      <c r="F27" s="4" t="n"/>
      <c r="G27" s="4" t="n"/>
      <c r="H27" s="4" t="n"/>
      <c r="I27" s="4" t="n"/>
    </row>
    <row r="28" ht="24" customHeight="1">
      <c r="A28" s="4" t="n"/>
      <c r="B28" s="9" t="inlineStr">
        <is>
          <t>SONUÇ</t>
        </is>
      </c>
      <c r="C28" s="9" t="inlineStr">
        <is>
          <t>Takograf ve EBS hız grafikleri üst üste çakışır, kesinti görülmez.</t>
        </is>
      </c>
      <c r="D28" s="4" t="n"/>
      <c r="E28" s="4" t="n"/>
      <c r="F28" s="4" t="n"/>
      <c r="G28" s="4" t="n"/>
      <c r="H28" s="4" t="n"/>
      <c r="I28" s="4" t="n"/>
    </row>
    <row r="29" ht="18" customHeight="1">
      <c r="A29" s="4" t="n"/>
      <c r="B29" s="9" t="inlineStr">
        <is>
          <t>OK / NOK</t>
        </is>
      </c>
      <c r="C29" s="5" t="inlineStr"/>
      <c r="D29" s="6" t="n"/>
      <c r="E29" s="6" t="n"/>
      <c r="F29" s="6" t="n"/>
      <c r="G29" s="6" t="n"/>
      <c r="H29" s="6" t="n"/>
      <c r="I29" s="6" t="n"/>
    </row>
    <row r="30" ht="30" customHeight="1">
      <c r="A30" s="12" t="inlineStr">
        <is>
          <t>MADDE 4 :</t>
        </is>
      </c>
      <c r="B30" s="9" t="inlineStr">
        <is>
          <t>PROSEDÜR</t>
        </is>
      </c>
      <c r="C30" s="9" t="inlineStr">
        <is>
          <t>Araç keskin virajlarda (mafsal tam açı) ve bozuk yolda 5 dk sürülür.</t>
        </is>
      </c>
      <c r="D30" s="4" t="n"/>
      <c r="E30" s="4" t="n"/>
      <c r="F30" s="4" t="n"/>
      <c r="G30" s="4" t="n"/>
      <c r="H30" s="4" t="n"/>
      <c r="I30" s="4" t="n"/>
    </row>
    <row r="31" ht="30" customHeight="1">
      <c r="A31" s="4" t="n"/>
      <c r="B31" s="9" t="inlineStr">
        <is>
          <t>KABUL KRİTERİ</t>
        </is>
      </c>
      <c r="C31" s="9" t="inlineStr">
        <is>
          <t>Titreşim ve mafsal hareketinde takograf hız sinyali kesilmemelidir.</t>
        </is>
      </c>
      <c r="D31" s="4" t="n"/>
      <c r="E31" s="4" t="n"/>
      <c r="F31" s="4" t="n"/>
      <c r="G31" s="4" t="n"/>
      <c r="H31" s="4" t="n"/>
      <c r="I31" s="4" t="n"/>
    </row>
    <row r="32" ht="24" customHeight="1">
      <c r="A32" s="4" t="n"/>
      <c r="B32" s="9" t="inlineStr">
        <is>
          <t>SONUÇ</t>
        </is>
      </c>
      <c r="C32" s="9" t="inlineStr">
        <is>
          <t>Hız sinyali kesintisiz devam eder.</t>
        </is>
      </c>
      <c r="D32" s="4" t="n"/>
      <c r="E32" s="4" t="n"/>
      <c r="F32" s="4" t="n"/>
      <c r="G32" s="4" t="n"/>
      <c r="H32" s="4" t="n"/>
      <c r="I32" s="4" t="n"/>
    </row>
    <row r="33" ht="18" customHeight="1">
      <c r="A33" s="4" t="n"/>
      <c r="B33" s="9" t="inlineStr">
        <is>
          <t>OK / NOK</t>
        </is>
      </c>
      <c r="C33" s="5" t="inlineStr"/>
      <c r="D33" s="6" t="n"/>
      <c r="E33" s="6" t="n"/>
      <c r="F33" s="6" t="n"/>
      <c r="G33" s="6" t="n"/>
      <c r="H33" s="6" t="n"/>
      <c r="I33" s="6" t="n"/>
    </row>
    <row r="34" ht="30" customHeight="1">
      <c r="A34" s="12" t="inlineStr">
        <is>
          <t>MADDE 5 :</t>
        </is>
      </c>
      <c r="B34" s="9" t="inlineStr">
        <is>
          <t>PROSEDÜR</t>
        </is>
      </c>
      <c r="C34" s="9" t="inlineStr">
        <is>
          <t>Test sonunda takograf, cluster ve EBS hata kodları okunur.</t>
        </is>
      </c>
      <c r="D34" s="4" t="n"/>
      <c r="E34" s="4" t="n"/>
      <c r="F34" s="4" t="n"/>
      <c r="G34" s="4" t="n"/>
      <c r="H34" s="4" t="n"/>
      <c r="I34" s="4" t="n"/>
    </row>
    <row r="35" ht="30" customHeight="1">
      <c r="A35" s="4" t="n"/>
      <c r="B35" s="9" t="inlineStr">
        <is>
          <t>KABUL KRİTERİ</t>
        </is>
      </c>
      <c r="C35" s="9" t="inlineStr">
        <is>
          <t>Yeni hata kodu veya takograf 'sensör hatası' kaydı olmamalıdır.</t>
        </is>
      </c>
      <c r="D35" s="4" t="n"/>
      <c r="E35" s="4" t="n"/>
      <c r="F35" s="4" t="n"/>
      <c r="G35" s="4" t="n"/>
      <c r="H35" s="4" t="n"/>
      <c r="I35" s="4" t="n"/>
    </row>
    <row r="36" ht="24" customHeight="1">
      <c r="A36" s="4" t="n"/>
      <c r="B36" s="9" t="inlineStr">
        <is>
          <t>SONUÇ</t>
        </is>
      </c>
      <c r="C36" s="9" t="inlineStr">
        <is>
          <t>Hata kaydı oluşmaz.</t>
        </is>
      </c>
      <c r="D36" s="4" t="n"/>
      <c r="E36" s="4" t="n"/>
      <c r="F36" s="4" t="n"/>
      <c r="G36" s="4" t="n"/>
      <c r="H36" s="4" t="n"/>
      <c r="I36" s="4" t="n"/>
    </row>
    <row r="37" ht="18" customHeight="1">
      <c r="A37" s="4" t="n"/>
      <c r="B37" s="9" t="inlineStr">
        <is>
          <t>OK / NOK</t>
        </is>
      </c>
      <c r="C37" s="5" t="inlineStr"/>
      <c r="D37" s="6" t="n"/>
      <c r="E37" s="6" t="n"/>
      <c r="F37" s="6" t="n"/>
      <c r="G37" s="6" t="n"/>
      <c r="H37" s="6" t="n"/>
      <c r="I37" s="6" t="n"/>
    </row>
    <row r="39" ht="22" customHeight="1">
      <c r="A39" s="1" t="inlineStr">
        <is>
          <t>HIZ KARŞILAŞTIRMA TABLOSU (Madde 2)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</row>
    <row r="40">
      <c r="A40" s="3" t="inlineStr">
        <is>
          <t>Tolerans Takograf–EBS (± km/h):</t>
        </is>
      </c>
      <c r="B40" s="4" t="n"/>
      <c r="C40" s="13" t="n">
        <v>2</v>
      </c>
      <c r="D40" s="3" t="inlineStr">
        <is>
          <t>Cluster okuma payı (km/h):</t>
        </is>
      </c>
      <c r="E40" s="4" t="n"/>
      <c r="F40" s="4" t="n"/>
      <c r="G40" s="4" t="n"/>
      <c r="H40" s="13" t="n">
        <v>1</v>
      </c>
      <c r="I40" s="6" t="n"/>
    </row>
    <row r="41" ht="30" customHeight="1">
      <c r="A41" s="14" t="inlineStr">
        <is>
          <t>Hız (km/h)</t>
        </is>
      </c>
      <c r="B41" s="14" t="inlineStr">
        <is>
          <t>Cluster (km/h)</t>
        </is>
      </c>
      <c r="C41" s="14" t="inlineStr">
        <is>
          <t>Takograf TCO1 (km/h)</t>
        </is>
      </c>
      <c r="D41" s="14" t="inlineStr">
        <is>
          <t>EBS (km/h)</t>
        </is>
      </c>
      <c r="E41" s="2" t="n"/>
      <c r="F41" s="14" t="inlineStr">
        <is>
          <t>Fark Takograf–EBS (km/h)</t>
        </is>
      </c>
      <c r="G41" s="2" t="n"/>
      <c r="H41" s="14" t="inlineStr">
        <is>
          <t>OK / NOK</t>
        </is>
      </c>
      <c r="I41" s="2" t="n"/>
    </row>
    <row r="42">
      <c r="A42" s="7" t="n">
        <v>10</v>
      </c>
      <c r="B42" s="15" t="n"/>
      <c r="C42" s="15" t="n"/>
      <c r="D42" s="15" t="n"/>
      <c r="E42" s="6" t="n"/>
      <c r="F42" s="16">
        <f>IF(OR(C42="",D42=""),"",C42-D42)</f>
        <v/>
      </c>
      <c r="G42" s="4" t="n"/>
      <c r="H42" s="17">
        <f>IF(OR(B42="",C42="",D42=""),"",IF(AND(ABS(C42-D42)&lt;=$C$40,B42&gt;=C42-$H$40),"OK","NOK"))</f>
        <v/>
      </c>
      <c r="I42" s="4" t="n"/>
    </row>
    <row r="43">
      <c r="A43" s="7" t="n">
        <v>20</v>
      </c>
      <c r="B43" s="15" t="n"/>
      <c r="C43" s="15" t="n"/>
      <c r="D43" s="15" t="n"/>
      <c r="E43" s="6" t="n"/>
      <c r="F43" s="16">
        <f>IF(OR(C43="",D43=""),"",C43-D43)</f>
        <v/>
      </c>
      <c r="G43" s="4" t="n"/>
      <c r="H43" s="17">
        <f>IF(OR(B43="",C43="",D43=""),"",IF(AND(ABS(C43-D43)&lt;=$C$40,B43&gt;=C43-$H$40),"OK","NOK"))</f>
        <v/>
      </c>
      <c r="I43" s="4" t="n"/>
    </row>
    <row r="44">
      <c r="A44" s="7" t="n">
        <v>30</v>
      </c>
      <c r="B44" s="15" t="n"/>
      <c r="C44" s="15" t="n"/>
      <c r="D44" s="15" t="n"/>
      <c r="E44" s="6" t="n"/>
      <c r="F44" s="16">
        <f>IF(OR(C44="",D44=""),"",C44-D44)</f>
        <v/>
      </c>
      <c r="G44" s="4" t="n"/>
      <c r="H44" s="17">
        <f>IF(OR(B44="",C44="",D44=""),"",IF(AND(ABS(C44-D44)&lt;=$C$40,B44&gt;=C44-$H$40),"OK","NOK"))</f>
        <v/>
      </c>
      <c r="I44" s="4" t="n"/>
    </row>
    <row r="45">
      <c r="A45" s="7" t="n">
        <v>40</v>
      </c>
      <c r="B45" s="15" t="n"/>
      <c r="C45" s="15" t="n"/>
      <c r="D45" s="15" t="n"/>
      <c r="E45" s="6" t="n"/>
      <c r="F45" s="16">
        <f>IF(OR(C45="",D45=""),"",C45-D45)</f>
        <v/>
      </c>
      <c r="G45" s="4" t="n"/>
      <c r="H45" s="17">
        <f>IF(OR(B45="",C45="",D45=""),"",IF(AND(ABS(C45-D45)&lt;=$C$40,B45&gt;=C45-$H$40),"OK","NOK"))</f>
        <v/>
      </c>
      <c r="I45" s="4" t="n"/>
    </row>
    <row r="46">
      <c r="A46" s="7" t="n">
        <v>50</v>
      </c>
      <c r="B46" s="15" t="n"/>
      <c r="C46" s="15" t="n"/>
      <c r="D46" s="15" t="n"/>
      <c r="E46" s="6" t="n"/>
      <c r="F46" s="16">
        <f>IF(OR(C46="",D46=""),"",C46-D46)</f>
        <v/>
      </c>
      <c r="G46" s="4" t="n"/>
      <c r="H46" s="17">
        <f>IF(OR(B46="",C46="",D46=""),"",IF(AND(ABS(C46-D46)&lt;=$C$40,B46&gt;=C46-$H$40),"OK","NOK"))</f>
        <v/>
      </c>
      <c r="I46" s="4" t="n"/>
    </row>
    <row r="47">
      <c r="A47" s="7" t="n">
        <v>60</v>
      </c>
      <c r="B47" s="15" t="n"/>
      <c r="C47" s="15" t="n"/>
      <c r="D47" s="15" t="n"/>
      <c r="E47" s="6" t="n"/>
      <c r="F47" s="16">
        <f>IF(OR(C47="",D47=""),"",C47-D47)</f>
        <v/>
      </c>
      <c r="G47" s="4" t="n"/>
      <c r="H47" s="17">
        <f>IF(OR(B47="",C47="",D47=""),"",IF(AND(ABS(C47-D47)&lt;=$C$40,B47&gt;=C47-$H$40),"OK","NOK"))</f>
        <v/>
      </c>
      <c r="I47" s="4" t="n"/>
    </row>
    <row r="48">
      <c r="A48" s="7" t="n">
        <v>70</v>
      </c>
      <c r="B48" s="15" t="n"/>
      <c r="C48" s="15" t="n"/>
      <c r="D48" s="15" t="n"/>
      <c r="E48" s="6" t="n"/>
      <c r="F48" s="16">
        <f>IF(OR(C48="",D48=""),"",C48-D48)</f>
        <v/>
      </c>
      <c r="G48" s="4" t="n"/>
      <c r="H48" s="17">
        <f>IF(OR(B48="",C48="",D48=""),"",IF(AND(ABS(C48-D48)&lt;=$C$40,B48&gt;=C48-$H$40),"OK","NOK"))</f>
        <v/>
      </c>
      <c r="I48" s="4" t="n"/>
    </row>
    <row r="49">
      <c r="A49" s="7" t="n">
        <v>80</v>
      </c>
      <c r="B49" s="15" t="n"/>
      <c r="C49" s="15" t="n"/>
      <c r="D49" s="15" t="n"/>
      <c r="E49" s="6" t="n"/>
      <c r="F49" s="16">
        <f>IF(OR(C49="",D49=""),"",C49-D49)</f>
        <v/>
      </c>
      <c r="G49" s="4" t="n"/>
      <c r="H49" s="17">
        <f>IF(OR(B49="",C49="",D49=""),"",IF(AND(ABS(C49-D49)&lt;=$C$40,B49&gt;=C49-$H$40),"OK","NOK"))</f>
        <v/>
      </c>
      <c r="I49" s="4" t="n"/>
    </row>
    <row r="50">
      <c r="A50" s="18" t="inlineStr">
        <is>
          <t>OK şartı: |Takograf – EBS| ≤ tolerans VE Cluster ≥ Takograf – okuma payı. Sarı hücreler test ekibi tarafından doldurulur.</t>
        </is>
      </c>
      <c r="B50" s="4" t="n"/>
      <c r="C50" s="4" t="n"/>
      <c r="D50" s="4" t="n"/>
      <c r="E50" s="4" t="n"/>
      <c r="F50" s="4" t="n"/>
      <c r="G50" s="4" t="n"/>
      <c r="H50" s="4" t="n"/>
      <c r="I50" s="4" t="n"/>
    </row>
    <row r="52" ht="40" customHeight="1">
      <c r="A52" s="3" t="inlineStr">
        <is>
          <t>GENEL SONUÇ / NOTLAR:</t>
        </is>
      </c>
      <c r="B52" s="4" t="n"/>
      <c r="C52" s="5" t="inlineStr"/>
      <c r="D52" s="6" t="n"/>
      <c r="E52" s="6" t="n"/>
      <c r="F52" s="6" t="n"/>
      <c r="G52" s="6" t="n"/>
      <c r="H52" s="6" t="n"/>
      <c r="I52" s="6" t="n"/>
    </row>
    <row r="54" ht="30" customHeight="1">
      <c r="A54" s="18" t="inlineStr">
        <is>
          <t>Açıklama: Sarı hücreler test ekibi tarafından doldurulacaktır. Tolerans değerleri (±2 / ±3 km/h, cluster %10 + 4 km/h) öneridir; proje/regülasyon gereksinimleri ile teyit edilmelidir. TCO1 ID'si takograf DBC'sinden alınmıştır; EBS mesaj ID'leri J1939 standart değerleridir ve EBS DBC'si ile teyit edilmelidir.</t>
        </is>
      </c>
      <c r="B54" s="4" t="n"/>
      <c r="C54" s="4" t="n"/>
      <c r="D54" s="4" t="n"/>
      <c r="E54" s="4" t="n"/>
      <c r="F54" s="4" t="n"/>
      <c r="G54" s="4" t="n"/>
      <c r="H54" s="4" t="n"/>
      <c r="I54" s="4" t="n"/>
    </row>
  </sheetData>
  <mergeCells count="91">
    <mergeCell ref="C36:I36"/>
    <mergeCell ref="C6:D6"/>
    <mergeCell ref="A30:A33"/>
    <mergeCell ref="E8:F8"/>
    <mergeCell ref="C19:I19"/>
    <mergeCell ref="D45:E45"/>
    <mergeCell ref="C28:I28"/>
    <mergeCell ref="C3:I3"/>
    <mergeCell ref="A17:I17"/>
    <mergeCell ref="C30:I30"/>
    <mergeCell ref="D48:E48"/>
    <mergeCell ref="C5:I5"/>
    <mergeCell ref="A18:A21"/>
    <mergeCell ref="C14:I14"/>
    <mergeCell ref="H45:I45"/>
    <mergeCell ref="C4:I4"/>
    <mergeCell ref="A39:I39"/>
    <mergeCell ref="A22:A25"/>
    <mergeCell ref="F43:G43"/>
    <mergeCell ref="C31:I31"/>
    <mergeCell ref="A34:A37"/>
    <mergeCell ref="C21:I21"/>
    <mergeCell ref="A9:B9"/>
    <mergeCell ref="C23:I23"/>
    <mergeCell ref="H41:I41"/>
    <mergeCell ref="C18:I18"/>
    <mergeCell ref="G7:H7"/>
    <mergeCell ref="C34:I34"/>
    <mergeCell ref="F45:G45"/>
    <mergeCell ref="H49:I49"/>
    <mergeCell ref="F42:G42"/>
    <mergeCell ref="D47:E47"/>
    <mergeCell ref="F47:G47"/>
    <mergeCell ref="C20:I20"/>
    <mergeCell ref="F46:G46"/>
    <mergeCell ref="C29:I29"/>
    <mergeCell ref="C8:D8"/>
    <mergeCell ref="C22:I22"/>
    <mergeCell ref="F48:G48"/>
    <mergeCell ref="A52:B52"/>
    <mergeCell ref="H48:I48"/>
    <mergeCell ref="A10:B10"/>
    <mergeCell ref="A1:I1"/>
    <mergeCell ref="C12:I12"/>
    <mergeCell ref="H43:I43"/>
    <mergeCell ref="C32:I32"/>
    <mergeCell ref="H40:I40"/>
    <mergeCell ref="D49:E49"/>
    <mergeCell ref="C24:I24"/>
    <mergeCell ref="C33:I33"/>
    <mergeCell ref="A3:B3"/>
    <mergeCell ref="E6:F6"/>
    <mergeCell ref="C26:I26"/>
    <mergeCell ref="A26:A29"/>
    <mergeCell ref="C35:I35"/>
    <mergeCell ref="A5:B5"/>
    <mergeCell ref="C10:I10"/>
    <mergeCell ref="C16:I16"/>
    <mergeCell ref="C25:I25"/>
    <mergeCell ref="A4:B4"/>
    <mergeCell ref="C7:D7"/>
    <mergeCell ref="E7:F7"/>
    <mergeCell ref="A7:B8"/>
    <mergeCell ref="A11:B16"/>
    <mergeCell ref="H42:I42"/>
    <mergeCell ref="F49:G49"/>
    <mergeCell ref="C2:I2"/>
    <mergeCell ref="A40:B40"/>
    <mergeCell ref="C11:I11"/>
    <mergeCell ref="C52:I52"/>
    <mergeCell ref="A54:I54"/>
    <mergeCell ref="D46:E46"/>
    <mergeCell ref="G8:H8"/>
    <mergeCell ref="H44:I44"/>
    <mergeCell ref="A50:I50"/>
    <mergeCell ref="A6:B6"/>
    <mergeCell ref="C37:I37"/>
    <mergeCell ref="C13:I13"/>
    <mergeCell ref="H46:I46"/>
    <mergeCell ref="G6:H6"/>
    <mergeCell ref="D41:E41"/>
    <mergeCell ref="C15:I15"/>
    <mergeCell ref="F41:G41"/>
    <mergeCell ref="D40:G40"/>
    <mergeCell ref="A2:B2"/>
    <mergeCell ref="D43:E43"/>
    <mergeCell ref="H47:I47"/>
    <mergeCell ref="D42:E42"/>
    <mergeCell ref="D44:E44"/>
    <mergeCell ref="C27:I27"/>
    <mergeCell ref="F44:G44"/>
  </mergeCells>
  <conditionalFormatting sqref="H42:I49">
    <cfRule type="cellIs" priority="1" operator="equal" dxfId="0">
      <formula>"OK"</formula>
    </cfRule>
    <cfRule type="cellIs" priority="2" operator="equal" dxfId="1">
      <formula>"NOK"</formula>
    </cfRule>
  </conditionalFormatting>
  <dataValidations count="1">
    <dataValidation sqref="C21 C25 C29 C33 C37" showDropDown="0" showInputMessage="0" showErrorMessage="0" allowBlank="1" type="list">
      <formula1>"OK,NOK"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16" customWidth="1" min="3" max="3"/>
    <col width="22" customWidth="1" min="4" max="4"/>
    <col width="34" customWidth="1" min="5" max="5"/>
  </cols>
  <sheetData>
    <row r="1" ht="42" customHeight="1">
      <c r="A1" s="14" t="inlineStr">
        <is>
          <t>No</t>
        </is>
      </c>
      <c r="B1" s="14" t="inlineStr">
        <is>
          <t>EMC Kaynağı / Tüketici</t>
        </is>
      </c>
      <c r="C1" s="14" t="inlineStr">
        <is>
          <t>Test Sırasında AÇIK (☐/☑)</t>
        </is>
      </c>
      <c r="D1" s="14" t="inlineStr">
        <is>
          <t>Açma-Kapama Geçişinde Hız Sinyali Etkilendi mi? (E/H)</t>
        </is>
      </c>
      <c r="E1" s="14" t="inlineStr">
        <is>
          <t>Not</t>
        </is>
      </c>
    </row>
    <row r="2">
      <c r="A2" s="7" t="n">
        <v>1</v>
      </c>
      <c r="B2" s="9" t="inlineStr">
        <is>
          <t>Klima / HVAC kompresörü ve fanları (tam yük)</t>
        </is>
      </c>
      <c r="C2" s="8" t="inlineStr">
        <is>
          <t>☐</t>
        </is>
      </c>
      <c r="D2" s="8" t="inlineStr"/>
      <c r="E2" s="5" t="inlineStr"/>
    </row>
    <row r="3">
      <c r="A3" s="7" t="n">
        <v>2</v>
      </c>
      <c r="B3" s="9" t="inlineStr">
        <is>
          <t>Kalorifer / ısıtıcılar, ön cam rezistansı (defroster), ayna ısıtma</t>
        </is>
      </c>
      <c r="C3" s="8" t="inlineStr">
        <is>
          <t>☐</t>
        </is>
      </c>
      <c r="D3" s="8" t="inlineStr"/>
      <c r="E3" s="5" t="inlineStr"/>
    </row>
    <row r="4">
      <c r="A4" s="7" t="n">
        <v>3</v>
      </c>
      <c r="B4" s="9" t="inlineStr">
        <is>
          <t>Tüm dış aydınlatma (far, sis, stop, sinyal, marker lambaları)</t>
        </is>
      </c>
      <c r="C4" s="8" t="inlineStr">
        <is>
          <t>☐</t>
        </is>
      </c>
      <c r="D4" s="8" t="inlineStr"/>
      <c r="E4" s="5" t="inlineStr"/>
    </row>
    <row r="5">
      <c r="A5" s="7" t="n">
        <v>4</v>
      </c>
      <c r="B5" s="9" t="inlineStr">
        <is>
          <t>Tüm iç aydınlatma (salon, sürücü, basamak)</t>
        </is>
      </c>
      <c r="C5" s="8" t="inlineStr">
        <is>
          <t>☐</t>
        </is>
      </c>
      <c r="D5" s="8" t="inlineStr"/>
      <c r="E5" s="5" t="inlineStr"/>
    </row>
    <row r="6">
      <c r="A6" s="7" t="n">
        <v>5</v>
      </c>
      <c r="B6" s="9" t="inlineStr">
        <is>
          <t>Kapı motorları / kapı kontrol üniteleri (açma-kapama)</t>
        </is>
      </c>
      <c r="C6" s="8" t="inlineStr">
        <is>
          <t>☐</t>
        </is>
      </c>
      <c r="D6" s="8" t="inlineStr"/>
      <c r="E6" s="5" t="inlineStr"/>
    </row>
    <row r="7">
      <c r="A7" s="7" t="n">
        <v>6</v>
      </c>
      <c r="B7" s="9" t="inlineStr">
        <is>
          <t>Silecek motorları ve yıkama pompası</t>
        </is>
      </c>
      <c r="C7" s="8" t="inlineStr">
        <is>
          <t>☐</t>
        </is>
      </c>
      <c r="D7" s="8" t="inlineStr"/>
      <c r="E7" s="5" t="inlineStr"/>
    </row>
    <row r="8">
      <c r="A8" s="7" t="n">
        <v>7</v>
      </c>
      <c r="B8" s="9" t="inlineStr">
        <is>
          <t>Retarder / motor freni</t>
        </is>
      </c>
      <c r="C8" s="8" t="inlineStr">
        <is>
          <t>☐</t>
        </is>
      </c>
      <c r="D8" s="8" t="inlineStr"/>
      <c r="E8" s="5" t="inlineStr"/>
    </row>
    <row r="9">
      <c r="A9" s="7" t="n">
        <v>8</v>
      </c>
      <c r="B9" s="9" t="inlineStr">
        <is>
          <t>Kneeling / ECAS süspansiyon</t>
        </is>
      </c>
      <c r="C9" s="8" t="inlineStr">
        <is>
          <t>☐</t>
        </is>
      </c>
      <c r="D9" s="8" t="inlineStr"/>
      <c r="E9" s="5" t="inlineStr"/>
    </row>
    <row r="10">
      <c r="A10" s="7" t="n">
        <v>9</v>
      </c>
      <c r="B10" s="9" t="inlineStr">
        <is>
          <t>Hava kompresörü</t>
        </is>
      </c>
      <c r="C10" s="8" t="inlineStr">
        <is>
          <t>☐</t>
        </is>
      </c>
      <c r="D10" s="8" t="inlineStr"/>
      <c r="E10" s="5" t="inlineStr"/>
    </row>
    <row r="11">
      <c r="A11" s="7" t="n">
        <v>10</v>
      </c>
      <c r="B11" s="9" t="inlineStr">
        <is>
          <t>Direksiyon pompası / elektro-hidrolik direksiyon</t>
        </is>
      </c>
      <c r="C11" s="8" t="inlineStr">
        <is>
          <t>☐</t>
        </is>
      </c>
      <c r="D11" s="8" t="inlineStr"/>
      <c r="E11" s="5" t="inlineStr"/>
    </row>
    <row r="12">
      <c r="A12" s="7" t="n">
        <v>11</v>
      </c>
      <c r="B12" s="9" t="inlineStr">
        <is>
          <t>Alternatör / DC-DC konvertör</t>
        </is>
      </c>
      <c r="C12" s="8" t="inlineStr">
        <is>
          <t>☐</t>
        </is>
      </c>
      <c r="D12" s="8" t="inlineStr"/>
      <c r="E12" s="5" t="inlineStr"/>
    </row>
    <row r="13">
      <c r="A13" s="7" t="n">
        <v>12</v>
      </c>
      <c r="B13" s="9" t="inlineStr">
        <is>
          <t>Çekiş inverteri / elektrik motoru ve yardımcı inverterler (varsa)</t>
        </is>
      </c>
      <c r="C13" s="8" t="inlineStr">
        <is>
          <t>☐</t>
        </is>
      </c>
      <c r="D13" s="8" t="inlineStr"/>
      <c r="E13" s="5" t="inlineStr"/>
    </row>
    <row r="14">
      <c r="A14" s="7" t="n">
        <v>13</v>
      </c>
      <c r="B14" s="9" t="inlineStr">
        <is>
          <t>Yolcu bilgilendirme ekranları, anons sistemi, hedef tabelaları</t>
        </is>
      </c>
      <c r="C14" s="8" t="inlineStr">
        <is>
          <t>☐</t>
        </is>
      </c>
      <c r="D14" s="8" t="inlineStr"/>
      <c r="E14" s="5" t="inlineStr"/>
    </row>
    <row r="15">
      <c r="A15" s="7" t="n">
        <v>14</v>
      </c>
      <c r="B15" s="9" t="inlineStr">
        <is>
          <t>Bilet validatörleri, WiFi / modem / telsiz / GSM</t>
        </is>
      </c>
      <c r="C15" s="8" t="inlineStr">
        <is>
          <t>☐</t>
        </is>
      </c>
      <c r="D15" s="8" t="inlineStr"/>
      <c r="E15" s="5" t="inlineStr"/>
    </row>
    <row r="16">
      <c r="A16" s="7" t="n">
        <v>15</v>
      </c>
      <c r="B16" s="9" t="inlineStr">
        <is>
          <t>Kamera sistemleri (ayna kamera, geri görüş, kabin içi)</t>
        </is>
      </c>
      <c r="C16" s="8" t="inlineStr">
        <is>
          <t>☐</t>
        </is>
      </c>
      <c r="D16" s="8" t="inlineStr"/>
      <c r="E16" s="5" t="inlineStr"/>
    </row>
    <row r="17">
      <c r="A17" s="7" t="n">
        <v>16</v>
      </c>
      <c r="B17" s="9" t="inlineStr">
        <is>
          <t>USB şarj soketleri</t>
        </is>
      </c>
      <c r="C17" s="8" t="inlineStr">
        <is>
          <t>☐</t>
        </is>
      </c>
      <c r="D17" s="8" t="inlineStr"/>
      <c r="E17" s="5" t="inlineStr"/>
    </row>
    <row r="18">
      <c r="A18" s="7" t="n">
        <v>17</v>
      </c>
      <c r="B18" s="9" t="inlineStr">
        <is>
          <t>Diğer (belirtiniz)</t>
        </is>
      </c>
      <c r="C18" s="8" t="inlineStr">
        <is>
          <t>☐</t>
        </is>
      </c>
      <c r="D18" s="8" t="inlineStr"/>
      <c r="E18" s="5" t="inlineStr"/>
    </row>
  </sheetData>
  <dataValidations count="1">
    <dataValidation sqref="D2 D3 D4 D5 D6 D7 D8 D9 D10 D11 D12 D13 D14 D15 D16 D17 D18" showDropDown="0" showInputMessage="0" showErrorMessage="0" allowBlank="1" type="list">
      <formula1>"E,H"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28" customWidth="1" min="4" max="4"/>
    <col width="20" customWidth="1" min="5" max="5"/>
    <col width="22" customWidth="1" min="6" max="6"/>
    <col width="9" customWidth="1" min="7" max="7"/>
    <col width="44" customWidth="1" min="8" max="8"/>
  </cols>
  <sheetData>
    <row r="1">
      <c r="A1" s="19" t="inlineStr">
        <is>
          <t>Kaynak ECU</t>
        </is>
      </c>
      <c r="B1" s="19" t="inlineStr">
        <is>
          <t>Mesaj</t>
        </is>
      </c>
      <c r="C1" s="19" t="inlineStr">
        <is>
          <t>CAN ID (29-bit)</t>
        </is>
      </c>
      <c r="D1" s="19" t="inlineStr">
        <is>
          <t>Sinyal</t>
        </is>
      </c>
      <c r="E1" s="19" t="inlineStr">
        <is>
          <t>Byte / Bit (Intel)</t>
        </is>
      </c>
      <c r="F1" s="19" t="inlineStr">
        <is>
          <t>Ölçek / Birim</t>
        </is>
      </c>
      <c r="G1" s="19" t="inlineStr">
        <is>
          <t>Periyot</t>
        </is>
      </c>
      <c r="H1" s="19" t="inlineStr">
        <is>
          <t>Kontrol Amacı</t>
        </is>
      </c>
    </row>
    <row r="2">
      <c r="A2" s="9" t="inlineStr">
        <is>
          <t>Takograf</t>
        </is>
      </c>
      <c r="B2" s="9" t="inlineStr">
        <is>
          <t>TCO1 (PGN 0xFE6C)</t>
        </is>
      </c>
      <c r="C2" s="9" t="inlineStr">
        <is>
          <t>0x0CFE6CEE</t>
        </is>
      </c>
      <c r="D2" s="20" t="inlineStr">
        <is>
          <t>TachographVehicleSpeed</t>
        </is>
      </c>
      <c r="E2" s="9" t="inlineStr">
        <is>
          <t>Byte 7-8 / bit 48, 16 bit</t>
        </is>
      </c>
      <c r="F2" s="9" t="inlineStr">
        <is>
          <t>0.00390625 km/h/bit (1/256)</t>
        </is>
      </c>
      <c r="G2" s="9" t="inlineStr">
        <is>
          <t>50 ms</t>
        </is>
      </c>
      <c r="H2" s="9" t="inlineStr">
        <is>
          <t>ANA TEST SİNYALİ – KITAS kaynaklı araç hızı. Hız = (Byte8×256+Byte7)/256. Byte8=0xFE hata, 0xFF mevcut değil</t>
        </is>
      </c>
    </row>
    <row r="3">
      <c r="A3" s="9" t="inlineStr">
        <is>
          <t>Takograf</t>
        </is>
      </c>
      <c r="B3" s="9" t="inlineStr">
        <is>
          <t>TCO1 (PGN 0xFE6C)</t>
        </is>
      </c>
      <c r="C3" s="9" t="inlineStr">
        <is>
          <t>0x0CFE6CEE</t>
        </is>
      </c>
      <c r="D3" s="9" t="inlineStr">
        <is>
          <t>TachopraphOutputShaftSpeed</t>
        </is>
      </c>
      <c r="E3" s="9" t="inlineStr">
        <is>
          <t>Byte 5-6 / bit 32, 16 bit</t>
        </is>
      </c>
      <c r="F3" s="9" t="inlineStr">
        <is>
          <t>0.125 rpm/bit</t>
        </is>
      </c>
      <c r="G3" s="9" t="inlineStr">
        <is>
          <t>50 ms</t>
        </is>
      </c>
      <c r="H3" s="9" t="inlineStr">
        <is>
          <t>KITAS darbe bilgisi tutarlılığı</t>
        </is>
      </c>
    </row>
    <row r="4">
      <c r="A4" s="9" t="inlineStr">
        <is>
          <t>Takograf</t>
        </is>
      </c>
      <c r="B4" s="9" t="inlineStr">
        <is>
          <t>TCO1 (PGN 0xFE6C)</t>
        </is>
      </c>
      <c r="C4" s="9" t="inlineStr">
        <is>
          <t>0x0CFE6CEE</t>
        </is>
      </c>
      <c r="D4" s="9" t="inlineStr">
        <is>
          <t>VehicleMotion</t>
        </is>
      </c>
      <c r="E4" s="9" t="inlineStr">
        <is>
          <t>Byte 1 / bit 6, 2 bit</t>
        </is>
      </c>
      <c r="F4" s="9" t="inlineStr">
        <is>
          <t>00 = hareket yok, 01 = hareket var</t>
        </is>
      </c>
      <c r="G4" s="9" t="inlineStr">
        <is>
          <t>50 ms</t>
        </is>
      </c>
      <c r="H4" s="9" t="inlineStr">
        <is>
          <t>Hareket sırasında 00'a düşmemeli (kesinti göstergesi)</t>
        </is>
      </c>
    </row>
    <row r="5">
      <c r="A5" s="9" t="inlineStr">
        <is>
          <t>Takograf</t>
        </is>
      </c>
      <c r="B5" s="9" t="inlineStr">
        <is>
          <t>TCO1 (PGN 0xFE6C)</t>
        </is>
      </c>
      <c r="C5" s="9" t="inlineStr">
        <is>
          <t>0x0CFE6CEE</t>
        </is>
      </c>
      <c r="D5" s="9" t="inlineStr">
        <is>
          <t>SystemEvent / TachographPerformance / HandlingInformation</t>
        </is>
      </c>
      <c r="E5" s="9" t="inlineStr">
        <is>
          <t>Byte 4 / bit 24, 28, 26</t>
        </is>
      </c>
      <c r="F5" s="9" t="inlineStr">
        <is>
          <t>2 bit durum</t>
        </is>
      </c>
      <c r="G5" s="9" t="inlineStr">
        <is>
          <t>50 ms</t>
        </is>
      </c>
      <c r="H5" s="9" t="inlineStr">
        <is>
          <t>Takograf olay/arıza bayrakları</t>
        </is>
      </c>
    </row>
    <row r="6">
      <c r="A6" s="9" t="inlineStr">
        <is>
          <t>Takograf</t>
        </is>
      </c>
      <c r="B6" s="9" t="inlineStr">
        <is>
          <t>VDHR (PGN 0xFEC1)</t>
        </is>
      </c>
      <c r="C6" s="9" t="inlineStr">
        <is>
          <t>0x18FEC1EE</t>
        </is>
      </c>
      <c r="D6" s="9" t="inlineStr">
        <is>
          <t>HighResolTotalVehicleD / TripDistance</t>
        </is>
      </c>
      <c r="E6" s="9" t="inlineStr">
        <is>
          <t>Byte 1-4 / 5-8</t>
        </is>
      </c>
      <c r="F6" s="9" t="inlineStr">
        <is>
          <t>5 m/bit</t>
        </is>
      </c>
      <c r="G6" s="9" t="inlineStr">
        <is>
          <t>1 s</t>
        </is>
      </c>
      <c r="H6" s="9" t="inlineStr">
        <is>
          <t>Mesafe artışının tutarlılığı (opsiyonel)</t>
        </is>
      </c>
    </row>
    <row r="7">
      <c r="A7" s="9" t="inlineStr">
        <is>
          <t>EBS</t>
        </is>
      </c>
      <c r="B7" s="9" t="inlineStr">
        <is>
          <t>EBC2 (PGN 0xFEBF)</t>
        </is>
      </c>
      <c r="C7" s="9" t="inlineStr">
        <is>
          <t>0x18FEBF0B *</t>
        </is>
      </c>
      <c r="D7" s="9" t="inlineStr">
        <is>
          <t>FrontAxleSpeed</t>
        </is>
      </c>
      <c r="E7" s="9" t="inlineStr">
        <is>
          <t>Byte 1-2</t>
        </is>
      </c>
      <c r="F7" s="9" t="inlineStr">
        <is>
          <t>1/256 km/h</t>
        </is>
      </c>
      <c r="G7" s="9" t="inlineStr">
        <is>
          <t>100 ms</t>
        </is>
      </c>
      <c r="H7" s="9" t="inlineStr">
        <is>
          <t>Referans hız (karşılaştırma ECU)</t>
        </is>
      </c>
    </row>
    <row r="8">
      <c r="A8" s="9" t="inlineStr">
        <is>
          <t>EBS</t>
        </is>
      </c>
      <c r="B8" s="9" t="inlineStr">
        <is>
          <t>CCVS1 (PGN 0xFEF1)</t>
        </is>
      </c>
      <c r="C8" s="9" t="inlineStr">
        <is>
          <t>0x18FEF1xx *</t>
        </is>
      </c>
      <c r="D8" s="9" t="inlineStr">
        <is>
          <t>WheelBasedVehicleSpeed</t>
        </is>
      </c>
      <c r="E8" s="9" t="inlineStr">
        <is>
          <t>Byte 2-3</t>
        </is>
      </c>
      <c r="F8" s="9" t="inlineStr">
        <is>
          <t>1/256 km/h</t>
        </is>
      </c>
      <c r="G8" s="9" t="inlineStr">
        <is>
          <t>100 ms</t>
        </is>
      </c>
      <c r="H8" s="9" t="inlineStr">
        <is>
          <t>Referans hız (kaynak adres DBC'den teyit)</t>
        </is>
      </c>
    </row>
    <row r="9">
      <c r="A9" s="9" t="inlineStr">
        <is>
          <t>Cluster</t>
        </is>
      </c>
      <c r="B9" s="9" t="inlineStr">
        <is>
          <t>Hız göstergesi (görsel)</t>
        </is>
      </c>
      <c r="C9" s="9" t="inlineStr">
        <is>
          <t>–</t>
        </is>
      </c>
      <c r="D9" s="9" t="inlineStr">
        <is>
          <t>Gösterilen hız</t>
        </is>
      </c>
      <c r="E9" s="9" t="inlineStr">
        <is>
          <t>–</t>
        </is>
      </c>
      <c r="F9" s="9" t="inlineStr">
        <is>
          <t>km/h</t>
        </is>
      </c>
      <c r="G9" s="9" t="inlineStr">
        <is>
          <t>–</t>
        </is>
      </c>
      <c r="H9" s="9" t="inlineStr">
        <is>
          <t>Kamera kaydı ile TCO1 / EBS'ye karşılaştırma</t>
        </is>
      </c>
    </row>
    <row r="10">
      <c r="A10" s="9" t="inlineStr">
        <is>
          <t>Opsiyonel</t>
        </is>
      </c>
      <c r="B10" s="9" t="inlineStr">
        <is>
          <t>GPS / VBOX</t>
        </is>
      </c>
      <c r="C10" s="9" t="inlineStr">
        <is>
          <t>–</t>
        </is>
      </c>
      <c r="D10" s="9" t="inlineStr">
        <is>
          <t>GNSS Speed</t>
        </is>
      </c>
      <c r="E10" s="9" t="inlineStr">
        <is>
          <t>–</t>
        </is>
      </c>
      <c r="F10" s="9" t="inlineStr">
        <is>
          <t>km/h</t>
        </is>
      </c>
      <c r="G10" s="9" t="inlineStr">
        <is>
          <t>–</t>
        </is>
      </c>
      <c r="H10" s="9" t="inlineStr">
        <is>
          <t>Bağımsız referans hız</t>
        </is>
      </c>
    </row>
    <row r="11" ht="30" customHeight="1">
      <c r="A11" s="21" t="inlineStr">
        <is>
          <t>* EBS mesaj ID'leri SAE J1939 standart değerleridir (SA 0x0B = fren sistemi); araç EBS DBC dosyası ile teyit edilmelidir. TCO1/VDHR ID'leri takograf DBC'sinden alınmıştır (DBC ID – 0x80000000).</t>
        </is>
      </c>
    </row>
  </sheetData>
  <mergeCells count="1">
    <mergeCell ref="A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2026-09-30T13:15:08Z</dcterms:created>
  <dcterms:modified xsi:type="dcterms:W3CDTF">2026-09-30T13:15:08Z</dcterms:modified>
</cp:coreProperties>
</file>